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urn Rate" sheetId="1" state="visible" r:id="rId3"/>
    <sheet name="Inputs" sheetId="2" state="visible" r:id="rId4"/>
    <sheet name="Detail" sheetId="3" state="visible" r:id="rId5"/>
    <sheet name="Sources" sheetId="4" state="visible" r:id="rId6"/>
    <sheet name="Method &amp; Flags" sheetId="5" state="visible" r:id="rId7"/>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5" authorId="0">
      <text>
        <r>
          <rPr>
            <sz val="10"/>
            <rFont val="Arial"/>
            <family val="2"/>
          </rPr>
          <t xml:space="preserve">Position values were typed in from your screenshots. All 18 match each filing's cash &amp; cash equivalents at period end, in $K (see column I).</t>
        </r>
      </text>
    </comment>
  </commentList>
</comments>
</file>

<file path=xl/sharedStrings.xml><?xml version="1.0" encoding="utf-8"?>
<sst xmlns="http://schemas.openxmlformats.org/spreadsheetml/2006/main" count="597" uniqueCount="283">
  <si>
    <t xml:space="preserve">Quarterly cash burn rate: latest periodic filing per company</t>
  </si>
  <si>
    <t xml:space="preserve">Burn = net cash used in operating activities, from each company's latest 10-Q or interim 6-K. $ in thousands (ADXN in CHF thousands). Data retrieved 2026-10-03 from SEC EDGAR. Positive = cash consumed.</t>
  </si>
  <si>
    <t xml:space="preserve">Ticker</t>
  </si>
  <si>
    <t xml:space="preserve">Company</t>
  </si>
  <si>
    <t xml:space="preserve">Position ($K)</t>
  </si>
  <si>
    <t xml:space="preserve">Burn Rate ($K / qtr)</t>
  </si>
  <si>
    <t xml:space="preserve">Latest discrete qtr burn ($K)</t>
  </si>
  <si>
    <t xml:space="preserve">Currency</t>
  </si>
  <si>
    <t xml:space="preserve">Burn Rate in USD ($K / qtr)</t>
  </si>
  <si>
    <t xml:space="preserve">Period behind Burn Rate</t>
  </si>
  <si>
    <t xml:space="preserve">Position ties to filing cash?</t>
  </si>
  <si>
    <t xml:space="preserve">Flag</t>
  </si>
  <si>
    <t xml:space="preserve">ADXN</t>
  </si>
  <si>
    <t xml:space="preserve">Addex Therapeutics</t>
  </si>
  <si>
    <t xml:space="preserve">H1 2026 (Jan-Jun) / 2 - 6-K</t>
  </si>
  <si>
    <t xml:space="preserve">Reports in Swiss francs (CHF). Your Position of 767 is CHF 767K, not USD. Semi-annual reporter, so burn = H1 / 2. After period end, raised USD 2.8M gross via its ATM (6-K, 2026-08-26).</t>
  </si>
  <si>
    <t xml:space="preserve">AEON</t>
  </si>
  <si>
    <t xml:space="preserve">Aeon Biopharma</t>
  </si>
  <si>
    <t xml:space="preserve">H1 2026 (Jan-Jun) / 2 - 10-Q</t>
  </si>
  <si>
    <t xml:space="preserve">ATCX</t>
  </si>
  <si>
    <t xml:space="preserve">Atlas Critical Minerals Corporation</t>
  </si>
  <si>
    <t xml:space="preserve">Files 20-F/6-K (not 10-Q). Semi-annual, so burn = H1 / 2. Excludes $190,876 of capital-asset purchases (investing).</t>
  </si>
  <si>
    <t xml:space="preserve">CDIO</t>
  </si>
  <si>
    <t xml:space="preserve">Cardio Diagnostics Holdings</t>
  </si>
  <si>
    <t xml:space="preserve">Excludes $110,485 of H1 investing outflows (patent costs and equipment).</t>
  </si>
  <si>
    <t xml:space="preserve">EVGN</t>
  </si>
  <si>
    <t xml:space="preserve">Evogene</t>
  </si>
  <si>
    <t xml:space="preserve">Total includes discontinued operations ($300K in H1; continuing operations alone = $4,628K). The Q2 release separately cites ~$2.1M of Q2 "consolidated cash usage" (company definition) and 2026 burn guidance of ~$8.5-9.5M.</t>
  </si>
  <si>
    <t xml:space="preserve">INTZ</t>
  </si>
  <si>
    <t xml:space="preserve">Intrusion</t>
  </si>
  <si>
    <t xml:space="preserve">Q2 burn ($3,590K) is well above the H1 average. Excludes H1 capitalized software ($587K), equipment ($55K) and an acquisition ($356K).</t>
  </si>
  <si>
    <t xml:space="preserve">KAPA</t>
  </si>
  <si>
    <t xml:space="preserve">Kairos Pharma</t>
  </si>
  <si>
    <t xml:space="preserve">KPRX</t>
  </si>
  <si>
    <t xml:space="preserve">Kiora Pharmaceuticals</t>
  </si>
  <si>
    <t xml:space="preserve">Position excludes $9,761,994 of short-term investments also on the 6/30/26 balance sheet.</t>
  </si>
  <si>
    <t xml:space="preserve">LINK</t>
  </si>
  <si>
    <t xml:space="preserve">Interlink Electronics</t>
  </si>
  <si>
    <t xml:space="preserve">MYND</t>
  </si>
  <si>
    <t xml:space="preserve">Mynd.ai</t>
  </si>
  <si>
    <t xml:space="preserve">Semi-annual, so burn = H1 / 2. The filing reports cash of $7,040K including $220K restricted; your 6,820 is net of restricted cash. Excludes $896K of H1 capex and capitalized software.</t>
  </si>
  <si>
    <t xml:space="preserve">NCEL</t>
  </si>
  <si>
    <t xml:space="preserve">NewcelX</t>
  </si>
  <si>
    <t xml:space="preserve">Semi-annual, so burn = H1 / 2. Its filing reports ~$1.4M gross raised in a private placement after June 30, 2026.</t>
  </si>
  <si>
    <t xml:space="preserve">NSRX</t>
  </si>
  <si>
    <t xml:space="preserve">Nasus Pharma</t>
  </si>
  <si>
    <t xml:space="preserve">Semi-annual, so burn = H1 / 2. Total includes $41K of discontinued operations. Position excludes a $4,000K short-term deposit.</t>
  </si>
  <si>
    <t xml:space="preserve">NXXT</t>
  </si>
  <si>
    <t xml:space="preserve">NextNRG</t>
  </si>
  <si>
    <t xml:space="preserve">ODYS</t>
  </si>
  <si>
    <t xml:space="preserve">Odysight.ai</t>
  </si>
  <si>
    <t xml:space="preserve">The 10-Q itself reports the Q2 three-month figure ($4,459K); it matches the subtraction.</t>
  </si>
  <si>
    <t xml:space="preserve">OPTT</t>
  </si>
  <si>
    <t xml:space="preserve">Ocean Power Technologies</t>
  </si>
  <si>
    <t xml:space="preserve">Q1 FY27 (May-Jul 2026) - 10-Q</t>
  </si>
  <si>
    <t xml:space="preserve">Fiscal year ends April 30, so the latest quarter is May-Jul 2026 (one month later than the others). Prior-year same quarter: $5,605K.</t>
  </si>
  <si>
    <t xml:space="preserve">QNRX</t>
  </si>
  <si>
    <t xml:space="preserve">Quoin Pharmaceuticals</t>
  </si>
  <si>
    <t xml:space="preserve">Position excludes $6,954,476 of investments also on the 6/30/26 balance sheet.</t>
  </si>
  <si>
    <t xml:space="preserve">TPST</t>
  </si>
  <si>
    <t xml:space="preserve">Tempest Therapeutics</t>
  </si>
  <si>
    <t xml:space="preserve">Q2 burn ($2,779K) is far below Q1 ($7,598K), so the H1 average overstates the current pace.</t>
  </si>
  <si>
    <t xml:space="preserve">WAVE</t>
  </si>
  <si>
    <t xml:space="preserve">Eco Wave Power Global AB</t>
  </si>
  <si>
    <t xml:space="preserve">Semi-annual, so burn = H1 / 2.</t>
  </si>
  <si>
    <t xml:space="preserve">Notes</t>
  </si>
  <si>
    <t xml:space="preserve">1. Burn Rate = average quarterly burn over the latest filing's year-to-date period (10-Q filers: Jan-Jun / 2; OPTT: its single May-Jul quarter; 6-K filers: H1 / 2). It uses only the latest filing, as requested.</t>
  </si>
  <si>
    <t xml:space="preserve">2. Latest discrete qtr = the most recent three months alone: latest 10-Q YTD minus the Q1 10-Q, or a three-month figure the company published (EVGN, ODYS). "n/a" = the company does not publish quarterly cash flows.</t>
  </si>
  <si>
    <t xml:space="preserve">3. ADXN reports in Swiss francs. Its Position (767) and Burn Rate are CHF thousands; the USD column converts at the H1-2026 average rate on the Inputs sheet.</t>
  </si>
  <si>
    <t xml:space="preserve">4. Capex and capitalized costs are excluded (operating cash flow only). The Flag column notes where they are material.</t>
  </si>
  <si>
    <t xml:space="preserve">5. Every figure traces to the SEC document on the Detail and Sources sheets.</t>
  </si>
  <si>
    <t xml:space="preserve">Inputs and assumptions</t>
  </si>
  <si>
    <t xml:space="preserve">CHF to USD, H1-2026 average</t>
  </si>
  <si>
    <t xml:space="preserve">Simple average of 128 weekday closing rates, 2026-01-02 to 2026-06-30 (weekday closes). Source: Financial Modeling Prep (FMP) forex historical EOD, symbol CHFUSD, retrieved 2026-10-03. Used only to translate Addex's CHF burn into USD.</t>
  </si>
  <si>
    <t xml:space="preserve">CHF to USD at 2026-06-30</t>
  </si>
  <si>
    <t xml:space="preserve">Closing rate on 2026-06-30. Source: Financial Modeling Prep (FMP) forex historical EOD, symbol CHFUSD, retrieved 2026-10-03. Used only to translate Addex's CHF cash into USD.</t>
  </si>
  <si>
    <t xml:space="preserve">USD to USD</t>
  </si>
  <si>
    <t xml:space="preserve">Data retrieved</t>
  </si>
  <si>
    <t xml:space="preserve">2026-10-03</t>
  </si>
  <si>
    <t xml:space="preserve">Date all SEC EDGAR documents and the FX series were pulled (system clock, UTC).</t>
  </si>
  <si>
    <t xml:space="preserve">Color key: blue = hard-coded input from a cited source; black = formula; green = link to another sheet; yellow fill = key assumption.</t>
  </si>
  <si>
    <t xml:space="preserve">Detail: as-reported operating cash flow and burn-rate calculations</t>
  </si>
  <si>
    <t xml:space="preserve">Burn rate = net cash used in operating activities. Avg quarterly burn = -(YTD operating cash flow) / (months in period / 3). Latest discrete quarter = latest YTD minus prior 10-Q YTD (or a three-month figure the company reported directly). Positive burn = cash consumed.</t>
  </si>
  <si>
    <t xml:space="preserve">Filer type</t>
  </si>
  <si>
    <t xml:space="preserve">Form / document</t>
  </si>
  <si>
    <t xml:space="preserve">Filed</t>
  </si>
  <si>
    <t xml:space="preserve">Period start</t>
  </si>
  <si>
    <t xml:space="preserve">Period end</t>
  </si>
  <si>
    <t xml:space="preserve">Months in period</t>
  </si>
  <si>
    <t xml:space="preserve">Operating cash flow line, exactly as labeled in filing</t>
  </si>
  <si>
    <t xml:space="preserve">Operating cash flow, as reported (filing units)</t>
  </si>
  <si>
    <t xml:space="preserve">Filing unit (1 = whole, 1000 = thousands)</t>
  </si>
  <si>
    <t xml:space="preserve">Operating cash flow (000s)</t>
  </si>
  <si>
    <t xml:space="preserve">Quarters in period</t>
  </si>
  <si>
    <t xml:space="preserve">BURN RATE: avg quarterly burn (000s)</t>
  </si>
  <si>
    <t xml:space="preserve">Q1 YTD operating cash flow, as reported (prior 10-Q)</t>
  </si>
  <si>
    <t xml:space="preserve">Prior unit</t>
  </si>
  <si>
    <t xml:space="preserve">Prior filing reference</t>
  </si>
  <si>
    <t xml:space="preserve">Discrete quarter operating cash flow reported directly (000s)</t>
  </si>
  <si>
    <t xml:space="preserve">Discrete-quarter source</t>
  </si>
  <si>
    <t xml:space="preserve">Latest discrete quarter burn (000s)</t>
  </si>
  <si>
    <t xml:space="preserve">Cash &amp; equivalents line, as reported (filing units)</t>
  </si>
  <si>
    <t xml:space="preserve">Restricted cash included in that line</t>
  </si>
  <si>
    <t xml:space="preserve">Cash ex-restricted (000s)</t>
  </si>
  <si>
    <t xml:space="preserve">FX to USD</t>
  </si>
  <si>
    <t xml:space="preserve">Burn rate in USD (000s)</t>
  </si>
  <si>
    <t xml:space="preserve">Accession no.</t>
  </si>
  <si>
    <t xml:space="preserve">Source document URL</t>
  </si>
  <si>
    <t xml:space="preserve">Foreign private issuer (semi-annual, 6-K)</t>
  </si>
  <si>
    <t xml:space="preserve">6-K (Ex. 99.1 interim financial statements)</t>
  </si>
  <si>
    <t xml:space="preserve">2026-09-28</t>
  </si>
  <si>
    <t xml:space="preserve">2026-01-01</t>
  </si>
  <si>
    <t xml:space="preserve">2026-06-30</t>
  </si>
  <si>
    <t xml:space="preserve">Net cash used in operating activities</t>
  </si>
  <si>
    <t xml:space="preserve">CHF</t>
  </si>
  <si>
    <t xml:space="preserve">n/a: no Q1 10-Q (semi-annual/6-K filer)</t>
  </si>
  <si>
    <t xml:space="preserve">0001104659-26-111142</t>
  </si>
  <si>
    <t xml:space="preserve">https://www.sec.gov/Archives/edgar/data/1574232/000110465926111142/adxn-20260630xex99d1.htm</t>
  </si>
  <si>
    <t xml:space="preserve">U.S. domestic filer (10-Q)</t>
  </si>
  <si>
    <t xml:space="preserve">10-Q</t>
  </si>
  <si>
    <t xml:space="preserve">2026-08-12</t>
  </si>
  <si>
    <t xml:space="preserve">USD</t>
  </si>
  <si>
    <t xml:space="preserve">10-Q filed 2026-05-14, acc. 0001837607-26-000042</t>
  </si>
  <si>
    <t xml:space="preserve">0001837607-26-000062</t>
  </si>
  <si>
    <t xml:space="preserve">https://www.sec.gov/Archives/edgar/data/1837607/000183760726000062/aeon-20260630x10q.htm</t>
  </si>
  <si>
    <t xml:space="preserve">2026-07-31</t>
  </si>
  <si>
    <t xml:space="preserve">Net cash provided by (used in) operating activities</t>
  </si>
  <si>
    <t xml:space="preserve">0001493152-26-035635</t>
  </si>
  <si>
    <t xml:space="preserve">https://www.sec.gov/Archives/edgar/data/1684688/000149315226035635/ex99-1.htm</t>
  </si>
  <si>
    <t xml:space="preserve">2026-08-07</t>
  </si>
  <si>
    <t xml:space="preserve">NET CASH USED IN OPERATING ACTIVITIES</t>
  </si>
  <si>
    <t xml:space="preserve">10-Q filed 2026-05-15, acc. 0001553350-26-000089</t>
  </si>
  <si>
    <t xml:space="preserve">0001079973-26-001016</t>
  </si>
  <si>
    <t xml:space="preserve">https://www.sec.gov/Archives/edgar/data/1870144/000107997326001016/cdio_10q-063026.htm</t>
  </si>
  <si>
    <t xml:space="preserve">Foreign private issuer (6-K)</t>
  </si>
  <si>
    <t xml:space="preserve">Q2-2026 results release, 6-K filed 2026-08-18, acc. 0001178913-26-004174 (Ex. 99.1), three months ended 2026-06-30</t>
  </si>
  <si>
    <t xml:space="preserve">0001178913-26-004636</t>
  </si>
  <si>
    <t xml:space="preserve">https://www.sec.gov/Archives/edgar/data/1574565/000117891326004636/exhibit_99-1.htm</t>
  </si>
  <si>
    <t xml:space="preserve">2026-08-11</t>
  </si>
  <si>
    <t xml:space="preserve">10-Q filed 2026-05-14, acc. 0001683168-26-003931</t>
  </si>
  <si>
    <t xml:space="preserve">0001683168-26-006209</t>
  </si>
  <si>
    <t xml:space="preserve">https://www.sec.gov/Archives/edgar/data/736012/000168316826006209/intrusion_i10q-063026.htm</t>
  </si>
  <si>
    <t xml:space="preserve">10-Q filed 2026-05-13, acc. 0001493152-26-022796</t>
  </si>
  <si>
    <t xml:space="preserve">0001493152-26-037355</t>
  </si>
  <si>
    <t xml:space="preserve">https://www.sec.gov/Archives/edgar/data/1962011/000149315226037355/form10-q.htm</t>
  </si>
  <si>
    <t xml:space="preserve">Net Cash Used in Operating Activities</t>
  </si>
  <si>
    <t xml:space="preserve">10-Q filed 2026-05-08, acc. 0001372514-26-000047</t>
  </si>
  <si>
    <t xml:space="preserve">0001372514-26-000074</t>
  </si>
  <si>
    <t xml:space="preserve">https://www.sec.gov/Archives/edgar/data/1372514/000137251426000074/kprx-20260630.htm</t>
  </si>
  <si>
    <t xml:space="preserve">2026-08-13</t>
  </si>
  <si>
    <t xml:space="preserve">Net cash (used in) operating activities</t>
  </si>
  <si>
    <t xml:space="preserve">10-Q filed 2026-05-14, acc. 0001104659-26-061139</t>
  </si>
  <si>
    <t xml:space="preserve">0001104659-26-096041</t>
  </si>
  <si>
    <t xml:space="preserve">https://www.sec.gov/Archives/edgar/data/828146/000110465926096041/link-20260630x10q.htm</t>
  </si>
  <si>
    <t xml:space="preserve">6-K (unaudited consolidated financial statements)</t>
  </si>
  <si>
    <t xml:space="preserve">2026-08-27</t>
  </si>
  <si>
    <t xml:space="preserve">0001708441-26-000102</t>
  </si>
  <si>
    <t xml:space="preserve">https://www.sec.gov/Archives/edgar/data/1708441/000170844126000102/mynd-20260630_d2.htm</t>
  </si>
  <si>
    <t xml:space="preserve">2026-09-18</t>
  </si>
  <si>
    <t xml:space="preserve">0001213900-26-101419</t>
  </si>
  <si>
    <t xml:space="preserve">https://www.sec.gov/Archives/edgar/data/1783036/000121390026101419/ea030514101ex99-1.htm</t>
  </si>
  <si>
    <t xml:space="preserve">2026-08-17</t>
  </si>
  <si>
    <t xml:space="preserve">0001493152-26-038651</t>
  </si>
  <si>
    <t xml:space="preserve">https://www.sec.gov/Archives/edgar/data/2029039/000149315226038651/ex99-1.htm</t>
  </si>
  <si>
    <t xml:space="preserve">10-Q filed 2026-05-15, acc. 0001493152-26-023768</t>
  </si>
  <si>
    <t xml:space="preserve">0001493152-26-037738</t>
  </si>
  <si>
    <t xml:space="preserve">https://www.sec.gov/Archives/edgar/data/1817004/000149315226037738/form10-q.htm</t>
  </si>
  <si>
    <t xml:space="preserve">Net cash flows used in operating activities</t>
  </si>
  <si>
    <t xml:space="preserve">10-Q filed 2026-05-14, acc. 0001493152-26-023100</t>
  </si>
  <si>
    <t xml:space="preserve">Same 10-Q, three months ended 2026-06-30 column</t>
  </si>
  <si>
    <t xml:space="preserve">0001493152-26-037618</t>
  </si>
  <si>
    <t xml:space="preserve">https://www.sec.gov/Archives/edgar/data/1577445/000149315226037618/form10-q.htm</t>
  </si>
  <si>
    <t xml:space="preserve">10-Q (Q1 of FY ending 4/30/2027)</t>
  </si>
  <si>
    <t xml:space="preserve">2026-09-14</t>
  </si>
  <si>
    <t xml:space="preserve">2026-05-01</t>
  </si>
  <si>
    <t xml:space="preserve">n/a: period is a single quarter</t>
  </si>
  <si>
    <t xml:space="preserve">0001493152-26-042579</t>
  </si>
  <si>
    <t xml:space="preserve">https://www.sec.gov/Archives/edgar/data/1378140/000149315226042579/form10-q.htm</t>
  </si>
  <si>
    <t xml:space="preserve">2026-08-14</t>
  </si>
  <si>
    <t xml:space="preserve">10-Q filed 2026-05-07, acc. 0001104659-26-056941</t>
  </si>
  <si>
    <t xml:space="preserve">0001104659-26-097064</t>
  </si>
  <si>
    <t xml:space="preserve">https://www.sec.gov/Archives/edgar/data/1671502/000110465926097064/qnrx-20260630x10q.htm</t>
  </si>
  <si>
    <t xml:space="preserve">Cash used in operating activities</t>
  </si>
  <si>
    <t xml:space="preserve">10-Q filed 2026-05-14, acc. 0001193125-26-224289</t>
  </si>
  <si>
    <t xml:space="preserve">0001193125-26-349381</t>
  </si>
  <si>
    <t xml:space="preserve">https://www.sec.gov/Archives/edgar/data/1544227/000119312526349381/tpst-20260630.htm</t>
  </si>
  <si>
    <t xml:space="preserve">0001213900-26-087513</t>
  </si>
  <si>
    <t xml:space="preserve">https://www.sec.gov/Archives/edgar/data/1846715/000121390026087513/ea030083701ex99-1.htm</t>
  </si>
  <si>
    <t xml:space="preserve">Check</t>
  </si>
  <si>
    <t xml:space="preserve">ODYS: computed Q2 (latest YTD - Q1 YTD) equals the Q2 figure the 10-Q reports directly</t>
  </si>
  <si>
    <t xml:space="preserve">Source map (all retrieved 2026-10-03)</t>
  </si>
  <si>
    <t xml:space="preserve">#</t>
  </si>
  <si>
    <t xml:space="preserve">Document</t>
  </si>
  <si>
    <t xml:space="preserve">Form</t>
  </si>
  <si>
    <t xml:space="preserve">Accession</t>
  </si>
  <si>
    <t xml:space="preserve">Used for</t>
  </si>
  <si>
    <t xml:space="preserve">URL</t>
  </si>
  <si>
    <t xml:space="preserve">adxn-20260630xex99d1.htm</t>
  </si>
  <si>
    <t xml:space="preserve">6-K</t>
  </si>
  <si>
    <t xml:space="preserve">Latest-period operating cash flow; period-end cash</t>
  </si>
  <si>
    <t xml:space="preserve">aeon-20260630x10q.htm</t>
  </si>
  <si>
    <t xml:space="preserve">aeon-20260331x10q.htm</t>
  </si>
  <si>
    <t xml:space="preserve">2026-05-14</t>
  </si>
  <si>
    <t xml:space="preserve">0001837607-26-000042</t>
  </si>
  <si>
    <t xml:space="preserve">Q1-2026 YTD operating cash flow (for latest discrete quarter)</t>
  </si>
  <si>
    <t xml:space="preserve">https://www.sec.gov/Archives/edgar/data/1837607/000183760726000042/aeon-20260331x10q.htm</t>
  </si>
  <si>
    <t xml:space="preserve">ex99-1.htm</t>
  </si>
  <si>
    <t xml:space="preserve">cdio_10q-063026.htm</t>
  </si>
  <si>
    <t xml:space="preserve">cdio_10q-033126.htm</t>
  </si>
  <si>
    <t xml:space="preserve">2026-05-15</t>
  </si>
  <si>
    <t xml:space="preserve">0001553350-26-000089</t>
  </si>
  <si>
    <t xml:space="preserve">https://www.sec.gov/Archives/edgar/data/1870144/000155335026000089/cdio_10q-033126.htm</t>
  </si>
  <si>
    <t xml:space="preserve">exhibit_99-1.htm</t>
  </si>
  <si>
    <t xml:space="preserve">2026-08-18</t>
  </si>
  <si>
    <t xml:space="preserve">0001178913-26-004174</t>
  </si>
  <si>
    <t xml:space="preserve">Q2-2026 three-month operating cash flow (press release)</t>
  </si>
  <si>
    <t xml:space="preserve">https://www.sec.gov/Archives/edgar/data/1574565/000117891326004174/exhibit_99-1.htm</t>
  </si>
  <si>
    <t xml:space="preserve">intrusion_i10q-063026.htm</t>
  </si>
  <si>
    <t xml:space="preserve">intrusion_i10q-033126.htm</t>
  </si>
  <si>
    <t xml:space="preserve">0001683168-26-003931</t>
  </si>
  <si>
    <t xml:space="preserve">https://www.sec.gov/Archives/edgar/data/736012/000168316826003931/intrusion_i10q-033126.htm</t>
  </si>
  <si>
    <t xml:space="preserve">form10-q.htm</t>
  </si>
  <si>
    <t xml:space="preserve">2026-05-13</t>
  </si>
  <si>
    <t xml:space="preserve">0001493152-26-022796</t>
  </si>
  <si>
    <t xml:space="preserve">https://www.sec.gov/Archives/edgar/data/1962011/000149315226022796/form10-q.htm</t>
  </si>
  <si>
    <t xml:space="preserve">kprx-20260630.htm</t>
  </si>
  <si>
    <t xml:space="preserve">kprx-20260331.htm</t>
  </si>
  <si>
    <t xml:space="preserve">2026-05-08</t>
  </si>
  <si>
    <t xml:space="preserve">0001372514-26-000047</t>
  </si>
  <si>
    <t xml:space="preserve">https://www.sec.gov/Archives/edgar/data/1372514/000137251426000047/kprx-20260331.htm</t>
  </si>
  <si>
    <t xml:space="preserve">link-20260630x10q.htm</t>
  </si>
  <si>
    <t xml:space="preserve">link-20260331x10q.htm</t>
  </si>
  <si>
    <t xml:space="preserve">0001104659-26-061139</t>
  </si>
  <si>
    <t xml:space="preserve">https://www.sec.gov/Archives/edgar/data/828146/000110465926061139/link-20260331x10q.htm</t>
  </si>
  <si>
    <t xml:space="preserve">mynd-20260630_d2.htm</t>
  </si>
  <si>
    <t xml:space="preserve">ea030514101ex99-1.htm</t>
  </si>
  <si>
    <t xml:space="preserve">0001493152-26-023768</t>
  </si>
  <si>
    <t xml:space="preserve">https://www.sec.gov/Archives/edgar/data/1817004/000149315226023768/form10-q.htm</t>
  </si>
  <si>
    <t xml:space="preserve">0001493152-26-023100</t>
  </si>
  <si>
    <t xml:space="preserve">https://www.sec.gov/Archives/edgar/data/1577445/000149315226023100/form10-q.htm</t>
  </si>
  <si>
    <t xml:space="preserve">qnrx-20260630x10q.htm</t>
  </si>
  <si>
    <t xml:space="preserve">qnrx-20260331x10q.htm</t>
  </si>
  <si>
    <t xml:space="preserve">2026-05-07</t>
  </si>
  <si>
    <t xml:space="preserve">0001104659-26-056941</t>
  </si>
  <si>
    <t xml:space="preserve">https://www.sec.gov/Archives/edgar/data/1671502/000110465926056941/qnrx-20260331x10q.htm</t>
  </si>
  <si>
    <t xml:space="preserve">tpst-20260630.htm</t>
  </si>
  <si>
    <t xml:space="preserve">tpst-20260331.htm</t>
  </si>
  <si>
    <t xml:space="preserve">0001193125-26-224289</t>
  </si>
  <si>
    <t xml:space="preserve">https://www.sec.gov/Archives/edgar/data/1544227/000119312526224289/tpst-20260331.htm</t>
  </si>
  <si>
    <t xml:space="preserve">ea030083701ex99-1.htm</t>
  </si>
  <si>
    <t xml:space="preserve">EX-99.1 press release (ATM proceeds)</t>
  </si>
  <si>
    <t xml:space="preserve">2026-08-26</t>
  </si>
  <si>
    <t xml:space="preserve">0001171843-26-005744</t>
  </si>
  <si>
    <t xml:space="preserve">Post-period financing (flag only)</t>
  </si>
  <si>
    <t xml:space="preserve">https://www.sec.gov/Archives/edgar/data/1574232/000117184326005744/exh_991.htm</t>
  </si>
  <si>
    <t xml:space="preserve">CHFUSD daily closes 2026-01-01 to 2026-06-30</t>
  </si>
  <si>
    <t xml:space="preserve">FMP feed</t>
  </si>
  <si>
    <t xml:space="preserve">n/a</t>
  </si>
  <si>
    <t xml:space="preserve">CHF to USD translation (Inputs sheet)</t>
  </si>
  <si>
    <t xml:space="preserve">Financial Modeling Prep forex historical EOD (MCP connector), symbol CHFUSD</t>
  </si>
  <si>
    <t xml:space="preserve">All</t>
  </si>
  <si>
    <t xml:space="preserve">Company tickers to CIK map</t>
  </si>
  <si>
    <t xml:space="preserve">SEC</t>
  </si>
  <si>
    <t xml:space="preserve">Ticker to CIK identification</t>
  </si>
  <si>
    <t xml:space="preserve">https://www.sec.gov/files/company_tickers.json</t>
  </si>
  <si>
    <t xml:space="preserve">Filing histories (submissions API)</t>
  </si>
  <si>
    <t xml:space="preserve">Identifying each company's latest periodic filing</t>
  </si>
  <si>
    <t xml:space="preserve">https://data.sec.gov/submissions/CIK##########.json</t>
  </si>
  <si>
    <t xml:space="preserve">Method</t>
  </si>
  <si>
    <t xml:space="preserve">1. For each ticker, mapped ticker to CIK using SEC company_tickers.json, then used the EDGAR submissions API to find the latest periodic report: 10-Q for U.S. filers, or the interim-financial-statements 6-K for foreign private issuers (period ending 2026-06-30).</t>
  </si>
  <si>
    <t xml:space="preserve">2. Took "net cash used in operating activities" (the filing's own line label is shown on the Detail sheet) from the cash flow statement in that document. Each value was cross-checked against the filing's XBRL instance; WAVE does not tag this line in XBRL, so it was verified by re-adding the statement's line items (sum = 1,444).</t>
  </si>
  <si>
    <t xml:space="preserve">3. Burn Rate ($K / qtr) = -(YTD operating cash flow) / (months in period / 3). For 6-month YTD statements this equals H1 / 2.</t>
  </si>
  <si>
    <t xml:space="preserve">4. Latest discrete quarter ($K) = -(latest YTD - Q1 YTD from the prior 10-Q). EVGN: three-month figure from its Q2-2026 results release. ODYS: the 10-Q reports the three-month figure itself, and it matches the subtraction.</t>
  </si>
  <si>
    <t xml:space="preserve">5. Total operating cash flow is used, including discontinued operations where present (EVGN, NSRX), because it is the cash actually spent. Capex and other investing outflows are excluded.</t>
  </si>
  <si>
    <t xml:space="preserve">Flags to review before you rely on this</t>
  </si>
  <si>
    <t xml:space="preserve">A. Mixed period types: 11 companies are true 10-Q filers. 7 (ADXN, ATCX, EVGN, MYND, NCEL, NSRX, WAVE) are foreign private issuers that report only half-year cash flows, so their Burn Rate is an H1 average, not a discrete quarter.</t>
  </si>
  <si>
    <t xml:space="preserve">B. Average and latest quarter diverge materially for TPST (5,189 avg vs 2,779 latest qtr), INTZ (2,706 vs 3,590), KPRX (2,527 vs 1,892), QNRX (4,007 vs 3,144), AEON (3,167 vs 3,698), LINK (415 vs 286), EVGN (2,464 vs 1,974). Choose the column that fits your use.</t>
  </si>
  <si>
    <t xml:space="preserve">C. OPTT's fiscal year ends April 30. Its latest 10-Q covers May-Jul 2026, one month later than everyone else's Jan-Jun period.</t>
  </si>
  <si>
    <t xml:space="preserve">D. ADXN is in CHF, not USD, for both Position and Burn Rate. The USD translation uses an FMP-sourced H1-2026 average rate (Inputs sheet).</t>
  </si>
  <si>
    <t xml:space="preserve">E. Position = cash &amp; cash equivalents only. KPRX ($9.76M short-term investments), QNRX ($6.95M investments) and NSRX ($4.0M short-term deposit) hold extra liquidity outside that figure, so cash / burn understates their runway.</t>
  </si>
  <si>
    <t xml:space="preserve">F. Events after the period end are not reflected: ADXN raised USD 2.8M gross via its ATM (6-K, 2026-08-26); NCEL says it raised ~$1.4M gross in a July 2026 private placement (its 6-K MD&amp;A).</t>
  </si>
  <si>
    <t xml:space="preserve">G. Capex and capitalized costs are excluded. They are material for INTZ (H1: $587K capitalized software, $55K equipment, $356K acquisition), MYND ($896K), ATCX ($191K) and CDIO ($110K).</t>
  </si>
  <si>
    <t xml:space="preserve">H. Not verified or not available: no discrete Q2 cash flow exists for ADXN, ATCX, MYND, NCEL, NSRX or WAVE in their filings. The FX rate comes from a third-party data feed (FMP), not an official central-bank fixing.</t>
  </si>
</sst>
</file>

<file path=xl/styles.xml><?xml version="1.0" encoding="utf-8"?>
<styleSheet xmlns="http://schemas.openxmlformats.org/spreadsheetml/2006/main">
  <numFmts count="6">
    <numFmt numFmtId="164" formatCode="General"/>
    <numFmt numFmtId="165" formatCode="#,##0;\(#,##0\);\-"/>
    <numFmt numFmtId="166" formatCode="0.0000"/>
    <numFmt numFmtId="167" formatCode="#,##0"/>
    <numFmt numFmtId="168" formatCode="#,##0.0;\(#,##0.0\);\-"/>
    <numFmt numFmtId="169" formatCode="0.0"/>
  </numFmts>
  <fonts count="16">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0"/>
      <name val="Arial"/>
      <family val="0"/>
      <charset val="1"/>
    </font>
    <font>
      <sz val="9"/>
      <name val="Arial"/>
      <family val="0"/>
      <charset val="1"/>
    </font>
    <font>
      <sz val="10"/>
      <name val="Arial"/>
      <family val="2"/>
    </font>
    <font>
      <sz val="10"/>
      <color rgb="FF0000FF"/>
      <name val="Arial"/>
      <family val="0"/>
      <charset val="1"/>
    </font>
    <font>
      <b val="true"/>
      <sz val="11"/>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right" vertical="top" textRotation="0" wrapText="false" indent="0" shrinkToFit="false"/>
      <protection locked="true" hidden="false"/>
    </xf>
    <xf numFmtId="165" fontId="9" fillId="0" borderId="1" xfId="0" applyFont="true" applyBorder="true" applyAlignment="true" applyProtection="false">
      <alignment horizontal="right" vertical="top" textRotation="0" wrapText="false" indent="0" shrinkToFit="false"/>
      <protection locked="true" hidden="false"/>
    </xf>
    <xf numFmtId="165" fontId="10" fillId="0" borderId="1" xfId="0" applyFont="true" applyBorder="true" applyAlignment="true" applyProtection="false">
      <alignment horizontal="right" vertical="top" textRotation="0" wrapText="fals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7" fontId="8"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8" fontId="11" fillId="0" borderId="1" xfId="0" applyFont="true" applyBorder="true" applyAlignment="true" applyProtection="false">
      <alignment horizontal="general" vertical="top" textRotation="0" wrapText="false" indent="0" shrinkToFit="false"/>
      <protection locked="true" hidden="false"/>
    </xf>
    <xf numFmtId="166" fontId="10" fillId="0"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s://www.sec.gov/Archives/edgar/data/1574232/000110465926111142/adxn-20260630xex99d1.htm" TargetMode="External"/><Relationship Id="rId2" Type="http://schemas.openxmlformats.org/officeDocument/2006/relationships/hyperlink" Target="https://www.sec.gov/Archives/edgar/data/1837607/000183760726000062/aeon-20260630x10q.htm" TargetMode="External"/><Relationship Id="rId3" Type="http://schemas.openxmlformats.org/officeDocument/2006/relationships/hyperlink" Target="https://www.sec.gov/Archives/edgar/data/1684688/000149315226035635/ex99-1.htm" TargetMode="External"/><Relationship Id="rId4" Type="http://schemas.openxmlformats.org/officeDocument/2006/relationships/hyperlink" Target="https://www.sec.gov/Archives/edgar/data/1870144/000107997326001016/cdio_10q-063026.htm" TargetMode="External"/><Relationship Id="rId5" Type="http://schemas.openxmlformats.org/officeDocument/2006/relationships/hyperlink" Target="https://www.sec.gov/Archives/edgar/data/1574565/000117891326004636/exhibit_99-1.htm" TargetMode="External"/><Relationship Id="rId6" Type="http://schemas.openxmlformats.org/officeDocument/2006/relationships/hyperlink" Target="https://www.sec.gov/Archives/edgar/data/736012/000168316826006209/intrusion_i10q-063026.htm" TargetMode="External"/><Relationship Id="rId7" Type="http://schemas.openxmlformats.org/officeDocument/2006/relationships/hyperlink" Target="https://www.sec.gov/Archives/edgar/data/1962011/000149315226037355/form10-q.htm" TargetMode="External"/><Relationship Id="rId8" Type="http://schemas.openxmlformats.org/officeDocument/2006/relationships/hyperlink" Target="https://www.sec.gov/Archives/edgar/data/1372514/000137251426000074/kprx-20260630.htm" TargetMode="External"/><Relationship Id="rId9" Type="http://schemas.openxmlformats.org/officeDocument/2006/relationships/hyperlink" Target="https://www.sec.gov/Archives/edgar/data/828146/000110465926096041/link-20260630x10q.htm" TargetMode="External"/><Relationship Id="rId10" Type="http://schemas.openxmlformats.org/officeDocument/2006/relationships/hyperlink" Target="https://www.sec.gov/Archives/edgar/data/1708441/000170844126000102/mynd-20260630_d2.htm" TargetMode="External"/><Relationship Id="rId11" Type="http://schemas.openxmlformats.org/officeDocument/2006/relationships/hyperlink" Target="https://www.sec.gov/Archives/edgar/data/1783036/000121390026101419/ea030514101ex99-1.htm" TargetMode="External"/><Relationship Id="rId12" Type="http://schemas.openxmlformats.org/officeDocument/2006/relationships/hyperlink" Target="https://www.sec.gov/Archives/edgar/data/2029039/000149315226038651/ex99-1.htm" TargetMode="External"/><Relationship Id="rId13" Type="http://schemas.openxmlformats.org/officeDocument/2006/relationships/hyperlink" Target="https://www.sec.gov/Archives/edgar/data/1817004/000149315226037738/form10-q.htm" TargetMode="External"/><Relationship Id="rId14" Type="http://schemas.openxmlformats.org/officeDocument/2006/relationships/hyperlink" Target="https://www.sec.gov/Archives/edgar/data/1577445/000149315226037618/form10-q.htm" TargetMode="External"/><Relationship Id="rId15" Type="http://schemas.openxmlformats.org/officeDocument/2006/relationships/hyperlink" Target="https://www.sec.gov/Archives/edgar/data/1378140/000149315226042579/form10-q.htm" TargetMode="External"/><Relationship Id="rId16" Type="http://schemas.openxmlformats.org/officeDocument/2006/relationships/hyperlink" Target="https://www.sec.gov/Archives/edgar/data/1671502/000110465926097064/qnrx-20260630x10q.htm" TargetMode="External"/><Relationship Id="rId17" Type="http://schemas.openxmlformats.org/officeDocument/2006/relationships/hyperlink" Target="https://www.sec.gov/Archives/edgar/data/1544227/000119312526349381/tpst-20260630.htm" TargetMode="External"/><Relationship Id="rId18" Type="http://schemas.openxmlformats.org/officeDocument/2006/relationships/hyperlink" Target="https://www.sec.gov/Archives/edgar/data/1846715/000121390026087513/ea030083701ex99-1.htm"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sec.gov/Archives/edgar/data/1574232/000110465926111142/adxn-20260630xex99d1.htm" TargetMode="External"/><Relationship Id="rId2" Type="http://schemas.openxmlformats.org/officeDocument/2006/relationships/hyperlink" Target="https://www.sec.gov/Archives/edgar/data/1837607/000183760726000062/aeon-20260630x10q.htm" TargetMode="External"/><Relationship Id="rId3" Type="http://schemas.openxmlformats.org/officeDocument/2006/relationships/hyperlink" Target="https://www.sec.gov/Archives/edgar/data/1837607/000183760726000042/aeon-20260331x10q.htm" TargetMode="External"/><Relationship Id="rId4" Type="http://schemas.openxmlformats.org/officeDocument/2006/relationships/hyperlink" Target="https://www.sec.gov/Archives/edgar/data/1684688/000149315226035635/ex99-1.htm" TargetMode="External"/><Relationship Id="rId5" Type="http://schemas.openxmlformats.org/officeDocument/2006/relationships/hyperlink" Target="https://www.sec.gov/Archives/edgar/data/1870144/000107997326001016/cdio_10q-063026.htm" TargetMode="External"/><Relationship Id="rId6" Type="http://schemas.openxmlformats.org/officeDocument/2006/relationships/hyperlink" Target="https://www.sec.gov/Archives/edgar/data/1870144/000155335026000089/cdio_10q-033126.htm" TargetMode="External"/><Relationship Id="rId7" Type="http://schemas.openxmlformats.org/officeDocument/2006/relationships/hyperlink" Target="https://www.sec.gov/Archives/edgar/data/1574565/000117891326004636/exhibit_99-1.htm" TargetMode="External"/><Relationship Id="rId8" Type="http://schemas.openxmlformats.org/officeDocument/2006/relationships/hyperlink" Target="https://www.sec.gov/Archives/edgar/data/1574565/000117891326004174/exhibit_99-1.htm" TargetMode="External"/><Relationship Id="rId9" Type="http://schemas.openxmlformats.org/officeDocument/2006/relationships/hyperlink" Target="https://www.sec.gov/Archives/edgar/data/736012/000168316826006209/intrusion_i10q-063026.htm" TargetMode="External"/><Relationship Id="rId10" Type="http://schemas.openxmlformats.org/officeDocument/2006/relationships/hyperlink" Target="https://www.sec.gov/Archives/edgar/data/736012/000168316826003931/intrusion_i10q-033126.htm" TargetMode="External"/><Relationship Id="rId11" Type="http://schemas.openxmlformats.org/officeDocument/2006/relationships/hyperlink" Target="https://www.sec.gov/Archives/edgar/data/1962011/000149315226037355/form10-q.htm" TargetMode="External"/><Relationship Id="rId12" Type="http://schemas.openxmlformats.org/officeDocument/2006/relationships/hyperlink" Target="https://www.sec.gov/Archives/edgar/data/1962011/000149315226022796/form10-q.htm" TargetMode="External"/><Relationship Id="rId13" Type="http://schemas.openxmlformats.org/officeDocument/2006/relationships/hyperlink" Target="https://www.sec.gov/Archives/edgar/data/1372514/000137251426000074/kprx-20260630.htm" TargetMode="External"/><Relationship Id="rId14" Type="http://schemas.openxmlformats.org/officeDocument/2006/relationships/hyperlink" Target="https://www.sec.gov/Archives/edgar/data/1372514/000137251426000047/kprx-20260331.htm" TargetMode="External"/><Relationship Id="rId15" Type="http://schemas.openxmlformats.org/officeDocument/2006/relationships/hyperlink" Target="https://www.sec.gov/Archives/edgar/data/828146/000110465926096041/link-20260630x10q.htm" TargetMode="External"/><Relationship Id="rId16" Type="http://schemas.openxmlformats.org/officeDocument/2006/relationships/hyperlink" Target="https://www.sec.gov/Archives/edgar/data/828146/000110465926061139/link-20260331x10q.htm" TargetMode="External"/><Relationship Id="rId17" Type="http://schemas.openxmlformats.org/officeDocument/2006/relationships/hyperlink" Target="https://www.sec.gov/Archives/edgar/data/1708441/000170844126000102/mynd-20260630_d2.htm" TargetMode="External"/><Relationship Id="rId18" Type="http://schemas.openxmlformats.org/officeDocument/2006/relationships/hyperlink" Target="https://www.sec.gov/Archives/edgar/data/1783036/000121390026101419/ea030514101ex99-1.htm" TargetMode="External"/><Relationship Id="rId19" Type="http://schemas.openxmlformats.org/officeDocument/2006/relationships/hyperlink" Target="https://www.sec.gov/Archives/edgar/data/2029039/000149315226038651/ex99-1.htm" TargetMode="External"/><Relationship Id="rId20" Type="http://schemas.openxmlformats.org/officeDocument/2006/relationships/hyperlink" Target="https://www.sec.gov/Archives/edgar/data/1817004/000149315226037738/form10-q.htm" TargetMode="External"/><Relationship Id="rId21" Type="http://schemas.openxmlformats.org/officeDocument/2006/relationships/hyperlink" Target="https://www.sec.gov/Archives/edgar/data/1817004/000149315226023768/form10-q.htm" TargetMode="External"/><Relationship Id="rId22" Type="http://schemas.openxmlformats.org/officeDocument/2006/relationships/hyperlink" Target="https://www.sec.gov/Archives/edgar/data/1577445/000149315226037618/form10-q.htm" TargetMode="External"/><Relationship Id="rId23" Type="http://schemas.openxmlformats.org/officeDocument/2006/relationships/hyperlink" Target="https://www.sec.gov/Archives/edgar/data/1577445/000149315226023100/form10-q.htm" TargetMode="External"/><Relationship Id="rId24" Type="http://schemas.openxmlformats.org/officeDocument/2006/relationships/hyperlink" Target="https://www.sec.gov/Archives/edgar/data/1378140/000149315226042579/form10-q.htm" TargetMode="External"/><Relationship Id="rId25" Type="http://schemas.openxmlformats.org/officeDocument/2006/relationships/hyperlink" Target="https://www.sec.gov/Archives/edgar/data/1671502/000110465926097064/qnrx-20260630x10q.htm" TargetMode="External"/><Relationship Id="rId26" Type="http://schemas.openxmlformats.org/officeDocument/2006/relationships/hyperlink" Target="https://www.sec.gov/Archives/edgar/data/1671502/000110465926056941/qnrx-20260331x10q.htm" TargetMode="External"/><Relationship Id="rId27" Type="http://schemas.openxmlformats.org/officeDocument/2006/relationships/hyperlink" Target="https://www.sec.gov/Archives/edgar/data/1544227/000119312526349381/tpst-20260630.htm" TargetMode="External"/><Relationship Id="rId28" Type="http://schemas.openxmlformats.org/officeDocument/2006/relationships/hyperlink" Target="https://www.sec.gov/Archives/edgar/data/1544227/000119312526224289/tpst-20260331.htm" TargetMode="External"/><Relationship Id="rId29" Type="http://schemas.openxmlformats.org/officeDocument/2006/relationships/hyperlink" Target="https://www.sec.gov/Archives/edgar/data/1846715/000121390026087513/ea030083701ex99-1.htm" TargetMode="External"/><Relationship Id="rId30" Type="http://schemas.openxmlformats.org/officeDocument/2006/relationships/hyperlink" Target="https://www.sec.gov/Archives/edgar/data/1574232/000117184326005744/exh_991.htm" TargetMode="External"/><Relationship Id="rId31" Type="http://schemas.openxmlformats.org/officeDocument/2006/relationships/hyperlink" Target="https://www.sec.gov/files/company_tickers.json" TargetMode="External"/><Relationship Id="rId32" Type="http://schemas.openxmlformats.org/officeDocument/2006/relationships/hyperlink" Target="https://data.sec.gov/submissions/CI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12"/>
    <col collapsed="false" customWidth="true" hidden="false" outlineLevel="0" max="4" min="4" style="0" width="13"/>
    <col collapsed="false" customWidth="true" hidden="false" outlineLevel="0" max="5" min="5" style="0" width="14"/>
    <col collapsed="false" customWidth="true" hidden="false" outlineLevel="0" max="6" min="6" style="0" width="9"/>
    <col collapsed="false" customWidth="true" hidden="false" outlineLevel="0" max="7" min="7" style="0" width="13"/>
    <col collapsed="false" customWidth="true" hidden="false" outlineLevel="0" max="8" min="8" style="0" width="30"/>
    <col collapsed="false" customWidth="true" hidden="false" outlineLevel="0" max="9" min="9" style="0" width="12"/>
    <col collapsed="false" customWidth="true" hidden="false" outlineLevel="0" max="10" min="10" style="0" width="70"/>
  </cols>
  <sheetData>
    <row r="1" customFormat="false" ht="16.15" hidden="false" customHeight="false" outlineLevel="0" collapsed="false">
      <c r="A1" s="1" t="s">
        <v>0</v>
      </c>
    </row>
    <row r="2" customFormat="false" ht="15" hidden="false" customHeight="false" outlineLevel="0" collapsed="false">
      <c r="A2" s="2" t="s">
        <v>1</v>
      </c>
    </row>
    <row r="4" customFormat="false" ht="43.5" hidden="false" customHeight="true" outlineLevel="0" collapsed="false">
      <c r="A4" s="3" t="s">
        <v>2</v>
      </c>
      <c r="B4" s="3" t="s">
        <v>3</v>
      </c>
      <c r="C4" s="3" t="s">
        <v>4</v>
      </c>
      <c r="D4" s="3" t="s">
        <v>5</v>
      </c>
      <c r="E4" s="3" t="s">
        <v>6</v>
      </c>
      <c r="F4" s="3" t="s">
        <v>7</v>
      </c>
      <c r="G4" s="3" t="s">
        <v>8</v>
      </c>
      <c r="H4" s="3" t="s">
        <v>9</v>
      </c>
      <c r="I4" s="3" t="s">
        <v>10</v>
      </c>
      <c r="J4" s="3" t="s">
        <v>11</v>
      </c>
    </row>
    <row r="5" customFormat="false" ht="51.75" hidden="false" customHeight="true" outlineLevel="0" collapsed="false">
      <c r="A5" s="4" t="s">
        <v>12</v>
      </c>
      <c r="B5" s="5" t="s">
        <v>13</v>
      </c>
      <c r="C5" s="6" t="n">
        <v>767</v>
      </c>
      <c r="D5" s="7" t="n">
        <f aca="false">Detail!N5</f>
        <v>617.051</v>
      </c>
      <c r="E5" s="8" t="str">
        <f aca="false">Detail!T5</f>
        <v>n/a</v>
      </c>
      <c r="F5" s="9" t="str">
        <f aca="false">Detail!K5</f>
        <v>CHF</v>
      </c>
      <c r="G5" s="8" t="n">
        <f aca="false">Detail!Y5</f>
        <v>784.04736869875</v>
      </c>
      <c r="H5" s="5" t="s">
        <v>14</v>
      </c>
      <c r="I5" s="4" t="str">
        <f aca="false">IF(ROUND(Detail!W5,0)=C5,"Yes","No")</f>
        <v>Yes</v>
      </c>
      <c r="J5" s="5" t="s">
        <v>15</v>
      </c>
    </row>
    <row r="6" customFormat="false" ht="51.75" hidden="false" customHeight="true" outlineLevel="0" collapsed="false">
      <c r="A6" s="4" t="s">
        <v>16</v>
      </c>
      <c r="B6" s="5" t="s">
        <v>17</v>
      </c>
      <c r="C6" s="6" t="n">
        <v>3431</v>
      </c>
      <c r="D6" s="7" t="n">
        <f aca="false">Detail!N6</f>
        <v>3167</v>
      </c>
      <c r="E6" s="8" t="n">
        <f aca="false">Detail!T6</f>
        <v>3698</v>
      </c>
      <c r="F6" s="9" t="str">
        <f aca="false">Detail!K6</f>
        <v>USD</v>
      </c>
      <c r="G6" s="8" t="n">
        <f aca="false">Detail!Y6</f>
        <v>3167</v>
      </c>
      <c r="H6" s="5" t="s">
        <v>18</v>
      </c>
      <c r="I6" s="4" t="str">
        <f aca="false">IF(ROUND(Detail!W6,0)=C6,"Yes","No")</f>
        <v>Yes</v>
      </c>
      <c r="J6" s="5"/>
    </row>
    <row r="7" customFormat="false" ht="51.75" hidden="false" customHeight="true" outlineLevel="0" collapsed="false">
      <c r="A7" s="4" t="s">
        <v>19</v>
      </c>
      <c r="B7" s="5" t="s">
        <v>20</v>
      </c>
      <c r="C7" s="6" t="n">
        <v>5536</v>
      </c>
      <c r="D7" s="7" t="n">
        <f aca="false">Detail!N7</f>
        <v>1612.3895</v>
      </c>
      <c r="E7" s="8" t="str">
        <f aca="false">Detail!T7</f>
        <v>n/a</v>
      </c>
      <c r="F7" s="9" t="str">
        <f aca="false">Detail!K7</f>
        <v>USD</v>
      </c>
      <c r="G7" s="8" t="n">
        <f aca="false">Detail!Y7</f>
        <v>1612.3895</v>
      </c>
      <c r="H7" s="5" t="s">
        <v>14</v>
      </c>
      <c r="I7" s="4" t="str">
        <f aca="false">IF(ROUND(Detail!W7,0)=C7,"Yes","No")</f>
        <v>Yes</v>
      </c>
      <c r="J7" s="5" t="s">
        <v>21</v>
      </c>
    </row>
    <row r="8" customFormat="false" ht="51.75" hidden="false" customHeight="true" outlineLevel="0" collapsed="false">
      <c r="A8" s="4" t="s">
        <v>22</v>
      </c>
      <c r="B8" s="5" t="s">
        <v>23</v>
      </c>
      <c r="C8" s="6" t="n">
        <v>5587</v>
      </c>
      <c r="D8" s="7" t="n">
        <f aca="false">Detail!N8</f>
        <v>1452.288</v>
      </c>
      <c r="E8" s="8" t="n">
        <f aca="false">Detail!T8</f>
        <v>1342.364</v>
      </c>
      <c r="F8" s="9" t="str">
        <f aca="false">Detail!K8</f>
        <v>USD</v>
      </c>
      <c r="G8" s="8" t="n">
        <f aca="false">Detail!Y8</f>
        <v>1452.288</v>
      </c>
      <c r="H8" s="5" t="s">
        <v>18</v>
      </c>
      <c r="I8" s="4" t="str">
        <f aca="false">IF(ROUND(Detail!W8,0)=C8,"Yes","No")</f>
        <v>Yes</v>
      </c>
      <c r="J8" s="5" t="s">
        <v>24</v>
      </c>
    </row>
    <row r="9" customFormat="false" ht="51.75" hidden="false" customHeight="true" outlineLevel="0" collapsed="false">
      <c r="A9" s="4" t="s">
        <v>25</v>
      </c>
      <c r="B9" s="5" t="s">
        <v>26</v>
      </c>
      <c r="C9" s="6" t="n">
        <v>9316</v>
      </c>
      <c r="D9" s="7" t="n">
        <f aca="false">Detail!N9</f>
        <v>2464</v>
      </c>
      <c r="E9" s="8" t="n">
        <f aca="false">Detail!T9</f>
        <v>1974</v>
      </c>
      <c r="F9" s="9" t="str">
        <f aca="false">Detail!K9</f>
        <v>USD</v>
      </c>
      <c r="G9" s="8" t="n">
        <f aca="false">Detail!Y9</f>
        <v>2464</v>
      </c>
      <c r="H9" s="5" t="s">
        <v>14</v>
      </c>
      <c r="I9" s="4" t="str">
        <f aca="false">IF(ROUND(Detail!W9,0)=C9,"Yes","No")</f>
        <v>Yes</v>
      </c>
      <c r="J9" s="5" t="s">
        <v>27</v>
      </c>
    </row>
    <row r="10" customFormat="false" ht="51.75" hidden="false" customHeight="true" outlineLevel="0" collapsed="false">
      <c r="A10" s="4" t="s">
        <v>28</v>
      </c>
      <c r="B10" s="5" t="s">
        <v>29</v>
      </c>
      <c r="C10" s="6" t="n">
        <v>182</v>
      </c>
      <c r="D10" s="7" t="n">
        <f aca="false">Detail!N10</f>
        <v>2705.5</v>
      </c>
      <c r="E10" s="8" t="n">
        <f aca="false">Detail!T10</f>
        <v>3590</v>
      </c>
      <c r="F10" s="9" t="str">
        <f aca="false">Detail!K10</f>
        <v>USD</v>
      </c>
      <c r="G10" s="8" t="n">
        <f aca="false">Detail!Y10</f>
        <v>2705.5</v>
      </c>
      <c r="H10" s="5" t="s">
        <v>18</v>
      </c>
      <c r="I10" s="4" t="str">
        <f aca="false">IF(ROUND(Detail!W10,0)=C10,"Yes","No")</f>
        <v>Yes</v>
      </c>
      <c r="J10" s="5" t="s">
        <v>30</v>
      </c>
    </row>
    <row r="11" customFormat="false" ht="51.75" hidden="false" customHeight="true" outlineLevel="0" collapsed="false">
      <c r="A11" s="4" t="s">
        <v>31</v>
      </c>
      <c r="B11" s="5" t="s">
        <v>32</v>
      </c>
      <c r="C11" s="6" t="n">
        <v>2626</v>
      </c>
      <c r="D11" s="7" t="n">
        <f aca="false">Detail!N11</f>
        <v>1024</v>
      </c>
      <c r="E11" s="8" t="n">
        <f aca="false">Detail!T11</f>
        <v>1012</v>
      </c>
      <c r="F11" s="9" t="str">
        <f aca="false">Detail!K11</f>
        <v>USD</v>
      </c>
      <c r="G11" s="8" t="n">
        <f aca="false">Detail!Y11</f>
        <v>1024</v>
      </c>
      <c r="H11" s="5" t="s">
        <v>18</v>
      </c>
      <c r="I11" s="4" t="str">
        <f aca="false">IF(ROUND(Detail!W11,0)=C11,"Yes","No")</f>
        <v>Yes</v>
      </c>
      <c r="J11" s="5"/>
    </row>
    <row r="12" customFormat="false" ht="51.75" hidden="false" customHeight="true" outlineLevel="0" collapsed="false">
      <c r="A12" s="4" t="s">
        <v>33</v>
      </c>
      <c r="B12" s="5" t="s">
        <v>34</v>
      </c>
      <c r="C12" s="6" t="n">
        <v>7077</v>
      </c>
      <c r="D12" s="7" t="n">
        <f aca="false">Detail!N12</f>
        <v>2526.6335</v>
      </c>
      <c r="E12" s="8" t="n">
        <f aca="false">Detail!T12</f>
        <v>1891.935</v>
      </c>
      <c r="F12" s="9" t="str">
        <f aca="false">Detail!K12</f>
        <v>USD</v>
      </c>
      <c r="G12" s="8" t="n">
        <f aca="false">Detail!Y12</f>
        <v>2526.6335</v>
      </c>
      <c r="H12" s="5" t="s">
        <v>18</v>
      </c>
      <c r="I12" s="4" t="str">
        <f aca="false">IF(ROUND(Detail!W12,0)=C12,"Yes","No")</f>
        <v>Yes</v>
      </c>
      <c r="J12" s="5" t="s">
        <v>35</v>
      </c>
    </row>
    <row r="13" customFormat="false" ht="51.75" hidden="false" customHeight="true" outlineLevel="0" collapsed="false">
      <c r="A13" s="4" t="s">
        <v>36</v>
      </c>
      <c r="B13" s="5" t="s">
        <v>37</v>
      </c>
      <c r="C13" s="6" t="n">
        <v>1831</v>
      </c>
      <c r="D13" s="7" t="n">
        <f aca="false">Detail!N13</f>
        <v>414.5</v>
      </c>
      <c r="E13" s="8" t="n">
        <f aca="false">Detail!T13</f>
        <v>286</v>
      </c>
      <c r="F13" s="9" t="str">
        <f aca="false">Detail!K13</f>
        <v>USD</v>
      </c>
      <c r="G13" s="8" t="n">
        <f aca="false">Detail!Y13</f>
        <v>414.5</v>
      </c>
      <c r="H13" s="5" t="s">
        <v>18</v>
      </c>
      <c r="I13" s="4" t="str">
        <f aca="false">IF(ROUND(Detail!W13,0)=C13,"Yes","No")</f>
        <v>Yes</v>
      </c>
      <c r="J13" s="5"/>
    </row>
    <row r="14" customFormat="false" ht="51.75" hidden="false" customHeight="true" outlineLevel="0" collapsed="false">
      <c r="A14" s="4" t="s">
        <v>38</v>
      </c>
      <c r="B14" s="5" t="s">
        <v>39</v>
      </c>
      <c r="C14" s="6" t="n">
        <v>6820</v>
      </c>
      <c r="D14" s="7" t="n">
        <f aca="false">Detail!N14</f>
        <v>13220</v>
      </c>
      <c r="E14" s="8" t="str">
        <f aca="false">Detail!T14</f>
        <v>n/a</v>
      </c>
      <c r="F14" s="9" t="str">
        <f aca="false">Detail!K14</f>
        <v>USD</v>
      </c>
      <c r="G14" s="8" t="n">
        <f aca="false">Detail!Y14</f>
        <v>13220</v>
      </c>
      <c r="H14" s="5" t="s">
        <v>14</v>
      </c>
      <c r="I14" s="4" t="str">
        <f aca="false">IF(ROUND(Detail!W14,0)=C14,"Yes","No")</f>
        <v>Yes</v>
      </c>
      <c r="J14" s="5" t="s">
        <v>40</v>
      </c>
    </row>
    <row r="15" customFormat="false" ht="51.75" hidden="false" customHeight="true" outlineLevel="0" collapsed="false">
      <c r="A15" s="4" t="s">
        <v>41</v>
      </c>
      <c r="B15" s="5" t="s">
        <v>42</v>
      </c>
      <c r="C15" s="6" t="n">
        <v>710</v>
      </c>
      <c r="D15" s="7" t="n">
        <f aca="false">Detail!N15</f>
        <v>1436</v>
      </c>
      <c r="E15" s="8" t="str">
        <f aca="false">Detail!T15</f>
        <v>n/a</v>
      </c>
      <c r="F15" s="9" t="str">
        <f aca="false">Detail!K15</f>
        <v>USD</v>
      </c>
      <c r="G15" s="8" t="n">
        <f aca="false">Detail!Y15</f>
        <v>1436</v>
      </c>
      <c r="H15" s="5" t="s">
        <v>14</v>
      </c>
      <c r="I15" s="4" t="str">
        <f aca="false">IF(ROUND(Detail!W15,0)=C15,"Yes","No")</f>
        <v>Yes</v>
      </c>
      <c r="J15" s="5" t="s">
        <v>43</v>
      </c>
    </row>
    <row r="16" customFormat="false" ht="51.75" hidden="false" customHeight="true" outlineLevel="0" collapsed="false">
      <c r="A16" s="4" t="s">
        <v>44</v>
      </c>
      <c r="B16" s="5" t="s">
        <v>45</v>
      </c>
      <c r="C16" s="6" t="n">
        <v>7818</v>
      </c>
      <c r="D16" s="7" t="n">
        <f aca="false">Detail!N16</f>
        <v>3018</v>
      </c>
      <c r="E16" s="8" t="str">
        <f aca="false">Detail!T16</f>
        <v>n/a</v>
      </c>
      <c r="F16" s="9" t="str">
        <f aca="false">Detail!K16</f>
        <v>USD</v>
      </c>
      <c r="G16" s="8" t="n">
        <f aca="false">Detail!Y16</f>
        <v>3018</v>
      </c>
      <c r="H16" s="5" t="s">
        <v>14</v>
      </c>
      <c r="I16" s="4" t="str">
        <f aca="false">IF(ROUND(Detail!W16,0)=C16,"Yes","No")</f>
        <v>Yes</v>
      </c>
      <c r="J16" s="5" t="s">
        <v>46</v>
      </c>
    </row>
    <row r="17" customFormat="false" ht="51.75" hidden="false" customHeight="true" outlineLevel="0" collapsed="false">
      <c r="A17" s="4" t="s">
        <v>47</v>
      </c>
      <c r="B17" s="5" t="s">
        <v>48</v>
      </c>
      <c r="C17" s="6" t="n">
        <v>884</v>
      </c>
      <c r="D17" s="7" t="n">
        <f aca="false">Detail!N17</f>
        <v>2283.803</v>
      </c>
      <c r="E17" s="8" t="n">
        <f aca="false">Detail!T17</f>
        <v>2418.715</v>
      </c>
      <c r="F17" s="9" t="str">
        <f aca="false">Detail!K17</f>
        <v>USD</v>
      </c>
      <c r="G17" s="8" t="n">
        <f aca="false">Detail!Y17</f>
        <v>2283.803</v>
      </c>
      <c r="H17" s="5" t="s">
        <v>18</v>
      </c>
      <c r="I17" s="4" t="str">
        <f aca="false">IF(ROUND(Detail!W17,0)=C17,"Yes","No")</f>
        <v>Yes</v>
      </c>
      <c r="J17" s="5"/>
    </row>
    <row r="18" customFormat="false" ht="51.75" hidden="false" customHeight="true" outlineLevel="0" collapsed="false">
      <c r="A18" s="4" t="s">
        <v>49</v>
      </c>
      <c r="B18" s="5" t="s">
        <v>50</v>
      </c>
      <c r="C18" s="6" t="n">
        <v>17220</v>
      </c>
      <c r="D18" s="7" t="n">
        <f aca="false">Detail!N18</f>
        <v>4356.5</v>
      </c>
      <c r="E18" s="8" t="n">
        <f aca="false">Detail!T18</f>
        <v>4459</v>
      </c>
      <c r="F18" s="9" t="str">
        <f aca="false">Detail!K18</f>
        <v>USD</v>
      </c>
      <c r="G18" s="8" t="n">
        <f aca="false">Detail!Y18</f>
        <v>4356.5</v>
      </c>
      <c r="H18" s="5" t="s">
        <v>18</v>
      </c>
      <c r="I18" s="4" t="str">
        <f aca="false">IF(ROUND(Detail!W18,0)=C18,"Yes","No")</f>
        <v>Yes</v>
      </c>
      <c r="J18" s="5" t="s">
        <v>51</v>
      </c>
    </row>
    <row r="19" customFormat="false" ht="51.75" hidden="false" customHeight="true" outlineLevel="0" collapsed="false">
      <c r="A19" s="4" t="s">
        <v>52</v>
      </c>
      <c r="B19" s="5" t="s">
        <v>53</v>
      </c>
      <c r="C19" s="6" t="n">
        <v>7356</v>
      </c>
      <c r="D19" s="7" t="n">
        <f aca="false">Detail!N19</f>
        <v>10240</v>
      </c>
      <c r="E19" s="8" t="n">
        <f aca="false">Detail!T19</f>
        <v>10240</v>
      </c>
      <c r="F19" s="9" t="str">
        <f aca="false">Detail!K19</f>
        <v>USD</v>
      </c>
      <c r="G19" s="8" t="n">
        <f aca="false">Detail!Y19</f>
        <v>10240</v>
      </c>
      <c r="H19" s="5" t="s">
        <v>54</v>
      </c>
      <c r="I19" s="4" t="str">
        <f aca="false">IF(ROUND(Detail!W19,0)=C19,"Yes","No")</f>
        <v>Yes</v>
      </c>
      <c r="J19" s="5" t="s">
        <v>55</v>
      </c>
    </row>
    <row r="20" customFormat="false" ht="51.75" hidden="false" customHeight="true" outlineLevel="0" collapsed="false">
      <c r="A20" s="4" t="s">
        <v>56</v>
      </c>
      <c r="B20" s="5" t="s">
        <v>57</v>
      </c>
      <c r="C20" s="6" t="n">
        <v>3846</v>
      </c>
      <c r="D20" s="7" t="n">
        <f aca="false">Detail!N20</f>
        <v>4006.6315</v>
      </c>
      <c r="E20" s="8" t="n">
        <f aca="false">Detail!T20</f>
        <v>3144.34</v>
      </c>
      <c r="F20" s="9" t="str">
        <f aca="false">Detail!K20</f>
        <v>USD</v>
      </c>
      <c r="G20" s="8" t="n">
        <f aca="false">Detail!Y20</f>
        <v>4006.6315</v>
      </c>
      <c r="H20" s="5" t="s">
        <v>18</v>
      </c>
      <c r="I20" s="4" t="str">
        <f aca="false">IF(ROUND(Detail!W20,0)=C20,"Yes","No")</f>
        <v>Yes</v>
      </c>
      <c r="J20" s="5" t="s">
        <v>58</v>
      </c>
    </row>
    <row r="21" customFormat="false" ht="51.75" hidden="false" customHeight="true" outlineLevel="0" collapsed="false">
      <c r="A21" s="4" t="s">
        <v>59</v>
      </c>
      <c r="B21" s="5" t="s">
        <v>60</v>
      </c>
      <c r="C21" s="6" t="n">
        <v>779</v>
      </c>
      <c r="D21" s="7" t="n">
        <f aca="false">Detail!N21</f>
        <v>5188.5</v>
      </c>
      <c r="E21" s="8" t="n">
        <f aca="false">Detail!T21</f>
        <v>2779</v>
      </c>
      <c r="F21" s="9" t="str">
        <f aca="false">Detail!K21</f>
        <v>USD</v>
      </c>
      <c r="G21" s="8" t="n">
        <f aca="false">Detail!Y21</f>
        <v>5188.5</v>
      </c>
      <c r="H21" s="5" t="s">
        <v>18</v>
      </c>
      <c r="I21" s="4" t="str">
        <f aca="false">IF(ROUND(Detail!W21,0)=C21,"Yes","No")</f>
        <v>Yes</v>
      </c>
      <c r="J21" s="5" t="s">
        <v>61</v>
      </c>
    </row>
    <row r="22" customFormat="false" ht="51.75" hidden="false" customHeight="true" outlineLevel="0" collapsed="false">
      <c r="A22" s="4" t="s">
        <v>62</v>
      </c>
      <c r="B22" s="5" t="s">
        <v>63</v>
      </c>
      <c r="C22" s="6" t="n">
        <v>8152</v>
      </c>
      <c r="D22" s="7" t="n">
        <f aca="false">Detail!N22</f>
        <v>722</v>
      </c>
      <c r="E22" s="8" t="str">
        <f aca="false">Detail!T22</f>
        <v>n/a</v>
      </c>
      <c r="F22" s="9" t="str">
        <f aca="false">Detail!K22</f>
        <v>USD</v>
      </c>
      <c r="G22" s="8" t="n">
        <f aca="false">Detail!Y22</f>
        <v>722</v>
      </c>
      <c r="H22" s="5" t="s">
        <v>14</v>
      </c>
      <c r="I22" s="4" t="str">
        <f aca="false">IF(ROUND(Detail!W22,0)=C22,"Yes","No")</f>
        <v>Yes</v>
      </c>
      <c r="J22" s="5" t="s">
        <v>64</v>
      </c>
    </row>
    <row r="24" customFormat="false" ht="15" hidden="false" customHeight="false" outlineLevel="0" collapsed="false">
      <c r="A24" s="10" t="s">
        <v>65</v>
      </c>
    </row>
    <row r="25" customFormat="false" ht="15" hidden="false" customHeight="false" outlineLevel="0" collapsed="false">
      <c r="A25" s="11" t="s">
        <v>66</v>
      </c>
    </row>
    <row r="26" customFormat="false" ht="15" hidden="false" customHeight="false" outlineLevel="0" collapsed="false">
      <c r="A26" s="11" t="s">
        <v>67</v>
      </c>
    </row>
    <row r="27" customFormat="false" ht="15" hidden="false" customHeight="false" outlineLevel="0" collapsed="false">
      <c r="A27" s="11" t="s">
        <v>68</v>
      </c>
    </row>
    <row r="28" customFormat="false" ht="15" hidden="false" customHeight="false" outlineLevel="0" collapsed="false">
      <c r="A28" s="11" t="s">
        <v>69</v>
      </c>
    </row>
    <row r="29" customFormat="false" ht="15" hidden="false" customHeight="false" outlineLevel="0" collapsed="false">
      <c r="A29" s="11"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10"/>
  </cols>
  <sheetData>
    <row r="1" customFormat="false" ht="16.15" hidden="false" customHeight="false" outlineLevel="0" collapsed="false">
      <c r="A1" s="1" t="s">
        <v>71</v>
      </c>
    </row>
    <row r="3" customFormat="false" ht="22.35" hidden="false" customHeight="false" outlineLevel="0" collapsed="false">
      <c r="A3" s="10" t="s">
        <v>72</v>
      </c>
      <c r="B3" s="12" t="n">
        <v>1.27063625</v>
      </c>
      <c r="C3" s="13" t="s">
        <v>73</v>
      </c>
    </row>
    <row r="4" customFormat="false" ht="15" hidden="false" customHeight="false" outlineLevel="0" collapsed="false">
      <c r="A4" s="10" t="s">
        <v>74</v>
      </c>
      <c r="B4" s="14" t="n">
        <v>1.2371</v>
      </c>
      <c r="C4" s="13" t="s">
        <v>75</v>
      </c>
    </row>
    <row r="5" customFormat="false" ht="15" hidden="false" customHeight="false" outlineLevel="0" collapsed="false">
      <c r="A5" s="10" t="s">
        <v>76</v>
      </c>
      <c r="B5" s="15" t="n">
        <v>1</v>
      </c>
    </row>
    <row r="7" customFormat="false" ht="15" hidden="false" customHeight="false" outlineLevel="0" collapsed="false">
      <c r="A7" s="10" t="s">
        <v>77</v>
      </c>
      <c r="B7" s="15" t="s">
        <v>78</v>
      </c>
      <c r="C7" s="13" t="s">
        <v>79</v>
      </c>
    </row>
    <row r="9" customFormat="false" ht="15" hidden="false" customHeight="false" outlineLevel="0" collapsed="false">
      <c r="A9" s="2"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30"/>
    <col collapsed="false" customWidth="true" hidden="false" outlineLevel="0" max="6" min="4" style="0" width="11"/>
    <col collapsed="false" customWidth="true" hidden="false" outlineLevel="0" max="7" min="7" style="0" width="8"/>
    <col collapsed="false" customWidth="true" hidden="false" outlineLevel="0" max="8" min="8" style="0" width="34"/>
    <col collapsed="false" customWidth="true" hidden="false" outlineLevel="0" max="9" min="9" style="0" width="16"/>
    <col collapsed="false" customWidth="true" hidden="false" outlineLevel="0" max="10" min="10" style="0" width="10"/>
    <col collapsed="false" customWidth="true" hidden="false" outlineLevel="0" max="11" min="11" style="0" width="8"/>
    <col collapsed="false" customWidth="true" hidden="false" outlineLevel="0" max="12" min="12" style="0" width="14"/>
    <col collapsed="false" customWidth="true" hidden="false" outlineLevel="0" max="13" min="13" style="0" width="9"/>
    <col collapsed="false" customWidth="true" hidden="false" outlineLevel="0" max="14" min="14" style="0" width="15"/>
    <col collapsed="false" customWidth="true" hidden="false" outlineLevel="0" max="15" min="15" style="0" width="16"/>
    <col collapsed="false" customWidth="true" hidden="false" outlineLevel="0" max="16" min="16" style="0" width="8"/>
    <col collapsed="false" customWidth="true" hidden="false" outlineLevel="0" max="17" min="17" style="0" width="30"/>
    <col collapsed="false" customWidth="true" hidden="false" outlineLevel="0" max="18" min="18" style="0" width="15"/>
    <col collapsed="false" customWidth="true" hidden="false" outlineLevel="0" max="19" min="19" style="0" width="34"/>
    <col collapsed="false" customWidth="true" hidden="false" outlineLevel="0" max="20" min="20" style="0" width="14"/>
    <col collapsed="false" customWidth="true" hidden="false" outlineLevel="0" max="21" min="21" style="0" width="15"/>
    <col collapsed="false" customWidth="true" hidden="false" outlineLevel="0" max="22" min="22" style="0" width="11"/>
    <col collapsed="false" customWidth="true" hidden="false" outlineLevel="0" max="23" min="23" style="0" width="13"/>
    <col collapsed="false" customWidth="true" hidden="false" outlineLevel="0" max="24" min="24" style="0" width="9"/>
    <col collapsed="false" customWidth="true" hidden="false" outlineLevel="0" max="25" min="25" style="0" width="13"/>
    <col collapsed="false" customWidth="true" hidden="false" outlineLevel="0" max="26" min="26" style="0" width="22"/>
    <col collapsed="false" customWidth="true" hidden="false" outlineLevel="0" max="27" min="27" style="0" width="60"/>
    <col collapsed="false" customWidth="true" hidden="false" outlineLevel="0" max="28" min="28" style="0" width="70"/>
  </cols>
  <sheetData>
    <row r="1" customFormat="false" ht="16.15" hidden="false" customHeight="false" outlineLevel="0" collapsed="false">
      <c r="A1" s="1" t="s">
        <v>81</v>
      </c>
    </row>
    <row r="2" customFormat="false" ht="15" hidden="false" customHeight="false" outlineLevel="0" collapsed="false">
      <c r="A2" s="2" t="s">
        <v>82</v>
      </c>
    </row>
    <row r="4" customFormat="false" ht="78" hidden="false" customHeight="true" outlineLevel="0" collapsed="false">
      <c r="A4" s="3" t="s">
        <v>2</v>
      </c>
      <c r="B4" s="3" t="s">
        <v>83</v>
      </c>
      <c r="C4" s="3" t="s">
        <v>84</v>
      </c>
      <c r="D4" s="3" t="s">
        <v>85</v>
      </c>
      <c r="E4" s="3" t="s">
        <v>86</v>
      </c>
      <c r="F4" s="3" t="s">
        <v>87</v>
      </c>
      <c r="G4" s="3" t="s">
        <v>88</v>
      </c>
      <c r="H4" s="3" t="s">
        <v>89</v>
      </c>
      <c r="I4" s="3" t="s">
        <v>90</v>
      </c>
      <c r="J4" s="3" t="s">
        <v>91</v>
      </c>
      <c r="K4" s="3" t="s">
        <v>7</v>
      </c>
      <c r="L4" s="3" t="s">
        <v>92</v>
      </c>
      <c r="M4" s="3" t="s">
        <v>93</v>
      </c>
      <c r="N4" s="3" t="s">
        <v>94</v>
      </c>
      <c r="O4" s="3" t="s">
        <v>95</v>
      </c>
      <c r="P4" s="3" t="s">
        <v>96</v>
      </c>
      <c r="Q4" s="3" t="s">
        <v>97</v>
      </c>
      <c r="R4" s="3" t="s">
        <v>98</v>
      </c>
      <c r="S4" s="3" t="s">
        <v>99</v>
      </c>
      <c r="T4" s="3" t="s">
        <v>100</v>
      </c>
      <c r="U4" s="3" t="s">
        <v>101</v>
      </c>
      <c r="V4" s="3" t="s">
        <v>102</v>
      </c>
      <c r="W4" s="3" t="s">
        <v>103</v>
      </c>
      <c r="X4" s="3" t="s">
        <v>104</v>
      </c>
      <c r="Y4" s="3" t="s">
        <v>105</v>
      </c>
      <c r="Z4" s="3" t="s">
        <v>106</v>
      </c>
      <c r="AA4" s="3" t="s">
        <v>107</v>
      </c>
      <c r="AB4" s="3" t="s">
        <v>65</v>
      </c>
    </row>
    <row r="5" customFormat="false" ht="63.75" hidden="false" customHeight="true" outlineLevel="0" collapsed="false">
      <c r="A5" s="16" t="s">
        <v>12</v>
      </c>
      <c r="B5" s="17" t="s">
        <v>108</v>
      </c>
      <c r="C5" s="17" t="s">
        <v>109</v>
      </c>
      <c r="D5" s="18" t="s">
        <v>110</v>
      </c>
      <c r="E5" s="18" t="s">
        <v>111</v>
      </c>
      <c r="F5" s="18" t="s">
        <v>112</v>
      </c>
      <c r="G5" s="18" t="n">
        <v>6</v>
      </c>
      <c r="H5" s="17" t="s">
        <v>113</v>
      </c>
      <c r="I5" s="19" t="n">
        <v>-1234102</v>
      </c>
      <c r="J5" s="20" t="n">
        <v>1</v>
      </c>
      <c r="K5" s="18" t="s">
        <v>114</v>
      </c>
      <c r="L5" s="21" t="n">
        <f aca="false">I5*J5/1000</f>
        <v>-1234.102</v>
      </c>
      <c r="M5" s="22" t="n">
        <f aca="false">G5/3</f>
        <v>2</v>
      </c>
      <c r="N5" s="23" t="n">
        <f aca="false">-L5/M5</f>
        <v>617.051</v>
      </c>
      <c r="O5" s="19"/>
      <c r="P5" s="20"/>
      <c r="Q5" s="17" t="s">
        <v>115</v>
      </c>
      <c r="R5" s="19"/>
      <c r="S5" s="17"/>
      <c r="T5" s="21" t="str">
        <f aca="false">IF(G5=3,-L5,IF(ISNUMBER(O5),-(L5-O5*P5/1000),IF(ISNUMBER(R5),-R5,"n/a")))</f>
        <v>n/a</v>
      </c>
      <c r="U5" s="19" t="n">
        <v>767328</v>
      </c>
      <c r="V5" s="19" t="n">
        <v>0</v>
      </c>
      <c r="W5" s="21" t="n">
        <f aca="false">(U5-V5)*J5/1000</f>
        <v>767.328</v>
      </c>
      <c r="X5" s="24" t="n">
        <f aca="false">Inputs!$B$3</f>
        <v>1.27063625</v>
      </c>
      <c r="Y5" s="21" t="n">
        <f aca="false">N5*X5</f>
        <v>784.04736869875</v>
      </c>
      <c r="Z5" s="18" t="s">
        <v>116</v>
      </c>
      <c r="AA5" s="17" t="s">
        <v>117</v>
      </c>
      <c r="AB5" s="5" t="s">
        <v>15</v>
      </c>
    </row>
    <row r="6" customFormat="false" ht="63.75" hidden="false" customHeight="true" outlineLevel="0" collapsed="false">
      <c r="A6" s="16" t="s">
        <v>16</v>
      </c>
      <c r="B6" s="17" t="s">
        <v>118</v>
      </c>
      <c r="C6" s="17" t="s">
        <v>119</v>
      </c>
      <c r="D6" s="18" t="s">
        <v>120</v>
      </c>
      <c r="E6" s="18" t="s">
        <v>111</v>
      </c>
      <c r="F6" s="18" t="s">
        <v>112</v>
      </c>
      <c r="G6" s="18" t="n">
        <v>6</v>
      </c>
      <c r="H6" s="17" t="s">
        <v>113</v>
      </c>
      <c r="I6" s="19" t="n">
        <v>-6334</v>
      </c>
      <c r="J6" s="20" t="n">
        <v>1000</v>
      </c>
      <c r="K6" s="18" t="s">
        <v>121</v>
      </c>
      <c r="L6" s="21" t="n">
        <f aca="false">I6*J6/1000</f>
        <v>-6334</v>
      </c>
      <c r="M6" s="22" t="n">
        <f aca="false">G6/3</f>
        <v>2</v>
      </c>
      <c r="N6" s="23" t="n">
        <f aca="false">-L6/M6</f>
        <v>3167</v>
      </c>
      <c r="O6" s="19" t="n">
        <v>-2636</v>
      </c>
      <c r="P6" s="20" t="n">
        <v>1000</v>
      </c>
      <c r="Q6" s="17" t="s">
        <v>122</v>
      </c>
      <c r="R6" s="19"/>
      <c r="S6" s="17"/>
      <c r="T6" s="21" t="n">
        <f aca="false">IF(G6=3,-L6,IF(ISNUMBER(O6),-(L6-O6*P6/1000),IF(ISNUMBER(R6),-R6,"n/a")))</f>
        <v>3698</v>
      </c>
      <c r="U6" s="19" t="n">
        <v>3431</v>
      </c>
      <c r="V6" s="19" t="n">
        <v>0</v>
      </c>
      <c r="W6" s="21" t="n">
        <f aca="false">(U6-V6)*J6/1000</f>
        <v>3431</v>
      </c>
      <c r="X6" s="24" t="n">
        <f aca="false">Inputs!$B$5</f>
        <v>1</v>
      </c>
      <c r="Y6" s="21" t="n">
        <f aca="false">N6*X6</f>
        <v>3167</v>
      </c>
      <c r="Z6" s="18" t="s">
        <v>123</v>
      </c>
      <c r="AA6" s="17" t="s">
        <v>124</v>
      </c>
      <c r="AB6" s="5"/>
    </row>
    <row r="7" customFormat="false" ht="63.75" hidden="false" customHeight="true" outlineLevel="0" collapsed="false">
      <c r="A7" s="16" t="s">
        <v>19</v>
      </c>
      <c r="B7" s="17" t="s">
        <v>108</v>
      </c>
      <c r="C7" s="17" t="s">
        <v>109</v>
      </c>
      <c r="D7" s="18" t="s">
        <v>125</v>
      </c>
      <c r="E7" s="18" t="s">
        <v>111</v>
      </c>
      <c r="F7" s="18" t="s">
        <v>112</v>
      </c>
      <c r="G7" s="18" t="n">
        <v>6</v>
      </c>
      <c r="H7" s="17" t="s">
        <v>126</v>
      </c>
      <c r="I7" s="19" t="n">
        <v>-3224779</v>
      </c>
      <c r="J7" s="20" t="n">
        <v>1</v>
      </c>
      <c r="K7" s="18" t="s">
        <v>121</v>
      </c>
      <c r="L7" s="21" t="n">
        <f aca="false">I7*J7/1000</f>
        <v>-3224.779</v>
      </c>
      <c r="M7" s="22" t="n">
        <f aca="false">G7/3</f>
        <v>2</v>
      </c>
      <c r="N7" s="23" t="n">
        <f aca="false">-L7/M7</f>
        <v>1612.3895</v>
      </c>
      <c r="O7" s="19"/>
      <c r="P7" s="20"/>
      <c r="Q7" s="17" t="s">
        <v>115</v>
      </c>
      <c r="R7" s="19"/>
      <c r="S7" s="17"/>
      <c r="T7" s="21" t="str">
        <f aca="false">IF(G7=3,-L7,IF(ISNUMBER(O7),-(L7-O7*P7/1000),IF(ISNUMBER(R7),-R7,"n/a")))</f>
        <v>n/a</v>
      </c>
      <c r="U7" s="19" t="n">
        <v>5536422</v>
      </c>
      <c r="V7" s="19" t="n">
        <v>0</v>
      </c>
      <c r="W7" s="21" t="n">
        <f aca="false">(U7-V7)*J7/1000</f>
        <v>5536.422</v>
      </c>
      <c r="X7" s="24" t="n">
        <f aca="false">Inputs!$B$5</f>
        <v>1</v>
      </c>
      <c r="Y7" s="21" t="n">
        <f aca="false">N7*X7</f>
        <v>1612.3895</v>
      </c>
      <c r="Z7" s="18" t="s">
        <v>127</v>
      </c>
      <c r="AA7" s="17" t="s">
        <v>128</v>
      </c>
      <c r="AB7" s="5" t="s">
        <v>21</v>
      </c>
    </row>
    <row r="8" customFormat="false" ht="63.75" hidden="false" customHeight="true" outlineLevel="0" collapsed="false">
      <c r="A8" s="16" t="s">
        <v>22</v>
      </c>
      <c r="B8" s="17" t="s">
        <v>118</v>
      </c>
      <c r="C8" s="17" t="s">
        <v>119</v>
      </c>
      <c r="D8" s="18" t="s">
        <v>129</v>
      </c>
      <c r="E8" s="18" t="s">
        <v>111</v>
      </c>
      <c r="F8" s="18" t="s">
        <v>112</v>
      </c>
      <c r="G8" s="18" t="n">
        <v>6</v>
      </c>
      <c r="H8" s="17" t="s">
        <v>130</v>
      </c>
      <c r="I8" s="19" t="n">
        <v>-2904576</v>
      </c>
      <c r="J8" s="20" t="n">
        <v>1</v>
      </c>
      <c r="K8" s="18" t="s">
        <v>121</v>
      </c>
      <c r="L8" s="21" t="n">
        <f aca="false">I8*J8/1000</f>
        <v>-2904.576</v>
      </c>
      <c r="M8" s="22" t="n">
        <f aca="false">G8/3</f>
        <v>2</v>
      </c>
      <c r="N8" s="23" t="n">
        <f aca="false">-L8/M8</f>
        <v>1452.288</v>
      </c>
      <c r="O8" s="19" t="n">
        <v>-1562212</v>
      </c>
      <c r="P8" s="20" t="n">
        <v>1</v>
      </c>
      <c r="Q8" s="17" t="s">
        <v>131</v>
      </c>
      <c r="R8" s="19"/>
      <c r="S8" s="17"/>
      <c r="T8" s="21" t="n">
        <f aca="false">IF(G8=3,-L8,IF(ISNUMBER(O8),-(L8-O8*P8/1000),IF(ISNUMBER(R8),-R8,"n/a")))</f>
        <v>1342.364</v>
      </c>
      <c r="U8" s="19" t="n">
        <v>5586697</v>
      </c>
      <c r="V8" s="19" t="n">
        <v>0</v>
      </c>
      <c r="W8" s="21" t="n">
        <f aca="false">(U8-V8)*J8/1000</f>
        <v>5586.697</v>
      </c>
      <c r="X8" s="24" t="n">
        <f aca="false">Inputs!$B$5</f>
        <v>1</v>
      </c>
      <c r="Y8" s="21" t="n">
        <f aca="false">N8*X8</f>
        <v>1452.288</v>
      </c>
      <c r="Z8" s="18" t="s">
        <v>132</v>
      </c>
      <c r="AA8" s="17" t="s">
        <v>133</v>
      </c>
      <c r="AB8" s="5" t="s">
        <v>24</v>
      </c>
    </row>
    <row r="9" customFormat="false" ht="63.75" hidden="false" customHeight="true" outlineLevel="0" collapsed="false">
      <c r="A9" s="16" t="s">
        <v>25</v>
      </c>
      <c r="B9" s="17" t="s">
        <v>134</v>
      </c>
      <c r="C9" s="17" t="s">
        <v>109</v>
      </c>
      <c r="D9" s="18" t="s">
        <v>110</v>
      </c>
      <c r="E9" s="18" t="s">
        <v>111</v>
      </c>
      <c r="F9" s="18" t="s">
        <v>112</v>
      </c>
      <c r="G9" s="18" t="n">
        <v>6</v>
      </c>
      <c r="H9" s="17" t="s">
        <v>113</v>
      </c>
      <c r="I9" s="19" t="n">
        <v>-4928</v>
      </c>
      <c r="J9" s="20" t="n">
        <v>1000</v>
      </c>
      <c r="K9" s="18" t="s">
        <v>121</v>
      </c>
      <c r="L9" s="21" t="n">
        <f aca="false">I9*J9/1000</f>
        <v>-4928</v>
      </c>
      <c r="M9" s="22" t="n">
        <f aca="false">G9/3</f>
        <v>2</v>
      </c>
      <c r="N9" s="23" t="n">
        <f aca="false">-L9/M9</f>
        <v>2464</v>
      </c>
      <c r="O9" s="19"/>
      <c r="P9" s="20"/>
      <c r="Q9" s="17" t="s">
        <v>115</v>
      </c>
      <c r="R9" s="19" t="n">
        <v>-1974</v>
      </c>
      <c r="S9" s="17" t="s">
        <v>135</v>
      </c>
      <c r="T9" s="21" t="n">
        <f aca="false">IF(G9=3,-L9,IF(ISNUMBER(O9),-(L9-O9*P9/1000),IF(ISNUMBER(R9),-R9,"n/a")))</f>
        <v>1974</v>
      </c>
      <c r="U9" s="19" t="n">
        <v>9316</v>
      </c>
      <c r="V9" s="19" t="n">
        <v>0</v>
      </c>
      <c r="W9" s="21" t="n">
        <f aca="false">(U9-V9)*J9/1000</f>
        <v>9316</v>
      </c>
      <c r="X9" s="24" t="n">
        <f aca="false">Inputs!$B$5</f>
        <v>1</v>
      </c>
      <c r="Y9" s="21" t="n">
        <f aca="false">N9*X9</f>
        <v>2464</v>
      </c>
      <c r="Z9" s="18" t="s">
        <v>136</v>
      </c>
      <c r="AA9" s="17" t="s">
        <v>137</v>
      </c>
      <c r="AB9" s="5" t="s">
        <v>27</v>
      </c>
    </row>
    <row r="10" customFormat="false" ht="63.75" hidden="false" customHeight="true" outlineLevel="0" collapsed="false">
      <c r="A10" s="16" t="s">
        <v>28</v>
      </c>
      <c r="B10" s="17" t="s">
        <v>118</v>
      </c>
      <c r="C10" s="17" t="s">
        <v>119</v>
      </c>
      <c r="D10" s="18" t="s">
        <v>138</v>
      </c>
      <c r="E10" s="18" t="s">
        <v>111</v>
      </c>
      <c r="F10" s="18" t="s">
        <v>112</v>
      </c>
      <c r="G10" s="18" t="n">
        <v>6</v>
      </c>
      <c r="H10" s="17" t="s">
        <v>113</v>
      </c>
      <c r="I10" s="19" t="n">
        <v>-5411</v>
      </c>
      <c r="J10" s="20" t="n">
        <v>1000</v>
      </c>
      <c r="K10" s="18" t="s">
        <v>121</v>
      </c>
      <c r="L10" s="21" t="n">
        <f aca="false">I10*J10/1000</f>
        <v>-5411</v>
      </c>
      <c r="M10" s="22" t="n">
        <f aca="false">G10/3</f>
        <v>2</v>
      </c>
      <c r="N10" s="23" t="n">
        <f aca="false">-L10/M10</f>
        <v>2705.5</v>
      </c>
      <c r="O10" s="19" t="n">
        <v>-1821</v>
      </c>
      <c r="P10" s="20" t="n">
        <v>1000</v>
      </c>
      <c r="Q10" s="17" t="s">
        <v>139</v>
      </c>
      <c r="R10" s="19"/>
      <c r="S10" s="17"/>
      <c r="T10" s="21" t="n">
        <f aca="false">IF(G10=3,-L10,IF(ISNUMBER(O10),-(L10-O10*P10/1000),IF(ISNUMBER(R10),-R10,"n/a")))</f>
        <v>3590</v>
      </c>
      <c r="U10" s="19" t="n">
        <v>182</v>
      </c>
      <c r="V10" s="19" t="n">
        <v>0</v>
      </c>
      <c r="W10" s="21" t="n">
        <f aca="false">(U10-V10)*J10/1000</f>
        <v>182</v>
      </c>
      <c r="X10" s="24" t="n">
        <f aca="false">Inputs!$B$5</f>
        <v>1</v>
      </c>
      <c r="Y10" s="21" t="n">
        <f aca="false">N10*X10</f>
        <v>2705.5</v>
      </c>
      <c r="Z10" s="18" t="s">
        <v>140</v>
      </c>
      <c r="AA10" s="17" t="s">
        <v>141</v>
      </c>
      <c r="AB10" s="5" t="s">
        <v>30</v>
      </c>
    </row>
    <row r="11" customFormat="false" ht="63.75" hidden="false" customHeight="true" outlineLevel="0" collapsed="false">
      <c r="A11" s="16" t="s">
        <v>31</v>
      </c>
      <c r="B11" s="17" t="s">
        <v>118</v>
      </c>
      <c r="C11" s="17" t="s">
        <v>119</v>
      </c>
      <c r="D11" s="18" t="s">
        <v>120</v>
      </c>
      <c r="E11" s="18" t="s">
        <v>111</v>
      </c>
      <c r="F11" s="18" t="s">
        <v>112</v>
      </c>
      <c r="G11" s="18" t="n">
        <v>6</v>
      </c>
      <c r="H11" s="17" t="s">
        <v>113</v>
      </c>
      <c r="I11" s="19" t="n">
        <v>-2048</v>
      </c>
      <c r="J11" s="20" t="n">
        <v>1000</v>
      </c>
      <c r="K11" s="18" t="s">
        <v>121</v>
      </c>
      <c r="L11" s="21" t="n">
        <f aca="false">I11*J11/1000</f>
        <v>-2048</v>
      </c>
      <c r="M11" s="22" t="n">
        <f aca="false">G11/3</f>
        <v>2</v>
      </c>
      <c r="N11" s="23" t="n">
        <f aca="false">-L11/M11</f>
        <v>1024</v>
      </c>
      <c r="O11" s="19" t="n">
        <v>-1036</v>
      </c>
      <c r="P11" s="20" t="n">
        <v>1000</v>
      </c>
      <c r="Q11" s="17" t="s">
        <v>142</v>
      </c>
      <c r="R11" s="19"/>
      <c r="S11" s="17"/>
      <c r="T11" s="21" t="n">
        <f aca="false">IF(G11=3,-L11,IF(ISNUMBER(O11),-(L11-O11*P11/1000),IF(ISNUMBER(R11),-R11,"n/a")))</f>
        <v>1012</v>
      </c>
      <c r="U11" s="19" t="n">
        <v>2626</v>
      </c>
      <c r="V11" s="19" t="n">
        <v>0</v>
      </c>
      <c r="W11" s="21" t="n">
        <f aca="false">(U11-V11)*J11/1000</f>
        <v>2626</v>
      </c>
      <c r="X11" s="24" t="n">
        <f aca="false">Inputs!$B$5</f>
        <v>1</v>
      </c>
      <c r="Y11" s="21" t="n">
        <f aca="false">N11*X11</f>
        <v>1024</v>
      </c>
      <c r="Z11" s="18" t="s">
        <v>143</v>
      </c>
      <c r="AA11" s="17" t="s">
        <v>144</v>
      </c>
      <c r="AB11" s="5"/>
    </row>
    <row r="12" customFormat="false" ht="63.75" hidden="false" customHeight="true" outlineLevel="0" collapsed="false">
      <c r="A12" s="16" t="s">
        <v>33</v>
      </c>
      <c r="B12" s="17" t="s">
        <v>118</v>
      </c>
      <c r="C12" s="17" t="s">
        <v>119</v>
      </c>
      <c r="D12" s="18" t="s">
        <v>129</v>
      </c>
      <c r="E12" s="18" t="s">
        <v>111</v>
      </c>
      <c r="F12" s="18" t="s">
        <v>112</v>
      </c>
      <c r="G12" s="18" t="n">
        <v>6</v>
      </c>
      <c r="H12" s="17" t="s">
        <v>145</v>
      </c>
      <c r="I12" s="19" t="n">
        <v>-5053267</v>
      </c>
      <c r="J12" s="20" t="n">
        <v>1</v>
      </c>
      <c r="K12" s="18" t="s">
        <v>121</v>
      </c>
      <c r="L12" s="21" t="n">
        <f aca="false">I12*J12/1000</f>
        <v>-5053.267</v>
      </c>
      <c r="M12" s="22" t="n">
        <f aca="false">G12/3</f>
        <v>2</v>
      </c>
      <c r="N12" s="23" t="n">
        <f aca="false">-L12/M12</f>
        <v>2526.6335</v>
      </c>
      <c r="O12" s="19" t="n">
        <v>-3161332</v>
      </c>
      <c r="P12" s="20" t="n">
        <v>1</v>
      </c>
      <c r="Q12" s="17" t="s">
        <v>146</v>
      </c>
      <c r="R12" s="19"/>
      <c r="S12" s="17"/>
      <c r="T12" s="21" t="n">
        <f aca="false">IF(G12=3,-L12,IF(ISNUMBER(O12),-(L12-O12*P12/1000),IF(ISNUMBER(R12),-R12,"n/a")))</f>
        <v>1891.935</v>
      </c>
      <c r="U12" s="19" t="n">
        <v>7076533</v>
      </c>
      <c r="V12" s="19" t="n">
        <v>0</v>
      </c>
      <c r="W12" s="21" t="n">
        <f aca="false">(U12-V12)*J12/1000</f>
        <v>7076.533</v>
      </c>
      <c r="X12" s="24" t="n">
        <f aca="false">Inputs!$B$5</f>
        <v>1</v>
      </c>
      <c r="Y12" s="21" t="n">
        <f aca="false">N12*X12</f>
        <v>2526.6335</v>
      </c>
      <c r="Z12" s="18" t="s">
        <v>147</v>
      </c>
      <c r="AA12" s="17" t="s">
        <v>148</v>
      </c>
      <c r="AB12" s="5" t="s">
        <v>35</v>
      </c>
    </row>
    <row r="13" customFormat="false" ht="63.75" hidden="false" customHeight="true" outlineLevel="0" collapsed="false">
      <c r="A13" s="16" t="s">
        <v>36</v>
      </c>
      <c r="B13" s="17" t="s">
        <v>118</v>
      </c>
      <c r="C13" s="17" t="s">
        <v>119</v>
      </c>
      <c r="D13" s="18" t="s">
        <v>149</v>
      </c>
      <c r="E13" s="18" t="s">
        <v>111</v>
      </c>
      <c r="F13" s="18" t="s">
        <v>112</v>
      </c>
      <c r="G13" s="18" t="n">
        <v>6</v>
      </c>
      <c r="H13" s="17" t="s">
        <v>150</v>
      </c>
      <c r="I13" s="19" t="n">
        <v>-829</v>
      </c>
      <c r="J13" s="20" t="n">
        <v>1000</v>
      </c>
      <c r="K13" s="18" t="s">
        <v>121</v>
      </c>
      <c r="L13" s="21" t="n">
        <f aca="false">I13*J13/1000</f>
        <v>-829</v>
      </c>
      <c r="M13" s="22" t="n">
        <f aca="false">G13/3</f>
        <v>2</v>
      </c>
      <c r="N13" s="23" t="n">
        <f aca="false">-L13/M13</f>
        <v>414.5</v>
      </c>
      <c r="O13" s="19" t="n">
        <v>-543</v>
      </c>
      <c r="P13" s="20" t="n">
        <v>1000</v>
      </c>
      <c r="Q13" s="17" t="s">
        <v>151</v>
      </c>
      <c r="R13" s="19"/>
      <c r="S13" s="17"/>
      <c r="T13" s="21" t="n">
        <f aca="false">IF(G13=3,-L13,IF(ISNUMBER(O13),-(L13-O13*P13/1000),IF(ISNUMBER(R13),-R13,"n/a")))</f>
        <v>286</v>
      </c>
      <c r="U13" s="19" t="n">
        <v>1831</v>
      </c>
      <c r="V13" s="19" t="n">
        <v>0</v>
      </c>
      <c r="W13" s="21" t="n">
        <f aca="false">(U13-V13)*J13/1000</f>
        <v>1831</v>
      </c>
      <c r="X13" s="24" t="n">
        <f aca="false">Inputs!$B$5</f>
        <v>1</v>
      </c>
      <c r="Y13" s="21" t="n">
        <f aca="false">N13*X13</f>
        <v>414.5</v>
      </c>
      <c r="Z13" s="18" t="s">
        <v>152</v>
      </c>
      <c r="AA13" s="17" t="s">
        <v>153</v>
      </c>
      <c r="AB13" s="5"/>
    </row>
    <row r="14" customFormat="false" ht="63.75" hidden="false" customHeight="true" outlineLevel="0" collapsed="false">
      <c r="A14" s="16" t="s">
        <v>38</v>
      </c>
      <c r="B14" s="17" t="s">
        <v>108</v>
      </c>
      <c r="C14" s="17" t="s">
        <v>154</v>
      </c>
      <c r="D14" s="18" t="s">
        <v>155</v>
      </c>
      <c r="E14" s="18" t="s">
        <v>111</v>
      </c>
      <c r="F14" s="18" t="s">
        <v>112</v>
      </c>
      <c r="G14" s="18" t="n">
        <v>6</v>
      </c>
      <c r="H14" s="17" t="s">
        <v>113</v>
      </c>
      <c r="I14" s="19" t="n">
        <v>-26440</v>
      </c>
      <c r="J14" s="20" t="n">
        <v>1000</v>
      </c>
      <c r="K14" s="18" t="s">
        <v>121</v>
      </c>
      <c r="L14" s="21" t="n">
        <f aca="false">I14*J14/1000</f>
        <v>-26440</v>
      </c>
      <c r="M14" s="22" t="n">
        <f aca="false">G14/3</f>
        <v>2</v>
      </c>
      <c r="N14" s="23" t="n">
        <f aca="false">-L14/M14</f>
        <v>13220</v>
      </c>
      <c r="O14" s="19"/>
      <c r="P14" s="20"/>
      <c r="Q14" s="17" t="s">
        <v>115</v>
      </c>
      <c r="R14" s="19"/>
      <c r="S14" s="17"/>
      <c r="T14" s="21" t="str">
        <f aca="false">IF(G14=3,-L14,IF(ISNUMBER(O14),-(L14-O14*P14/1000),IF(ISNUMBER(R14),-R14,"n/a")))</f>
        <v>n/a</v>
      </c>
      <c r="U14" s="19" t="n">
        <v>7040</v>
      </c>
      <c r="V14" s="19" t="n">
        <v>220</v>
      </c>
      <c r="W14" s="21" t="n">
        <f aca="false">(U14-V14)*J14/1000</f>
        <v>6820</v>
      </c>
      <c r="X14" s="24" t="n">
        <f aca="false">Inputs!$B$5</f>
        <v>1</v>
      </c>
      <c r="Y14" s="21" t="n">
        <f aca="false">N14*X14</f>
        <v>13220</v>
      </c>
      <c r="Z14" s="18" t="s">
        <v>156</v>
      </c>
      <c r="AA14" s="17" t="s">
        <v>157</v>
      </c>
      <c r="AB14" s="5" t="s">
        <v>40</v>
      </c>
    </row>
    <row r="15" customFormat="false" ht="63.75" hidden="false" customHeight="true" outlineLevel="0" collapsed="false">
      <c r="A15" s="16" t="s">
        <v>41</v>
      </c>
      <c r="B15" s="17" t="s">
        <v>108</v>
      </c>
      <c r="C15" s="17" t="s">
        <v>109</v>
      </c>
      <c r="D15" s="18" t="s">
        <v>158</v>
      </c>
      <c r="E15" s="18" t="s">
        <v>111</v>
      </c>
      <c r="F15" s="18" t="s">
        <v>112</v>
      </c>
      <c r="G15" s="18" t="n">
        <v>6</v>
      </c>
      <c r="H15" s="17" t="s">
        <v>126</v>
      </c>
      <c r="I15" s="19" t="n">
        <v>-2872</v>
      </c>
      <c r="J15" s="20" t="n">
        <v>1000</v>
      </c>
      <c r="K15" s="18" t="s">
        <v>121</v>
      </c>
      <c r="L15" s="21" t="n">
        <f aca="false">I15*J15/1000</f>
        <v>-2872</v>
      </c>
      <c r="M15" s="22" t="n">
        <f aca="false">G15/3</f>
        <v>2</v>
      </c>
      <c r="N15" s="23" t="n">
        <f aca="false">-L15/M15</f>
        <v>1436</v>
      </c>
      <c r="O15" s="19"/>
      <c r="P15" s="20"/>
      <c r="Q15" s="17" t="s">
        <v>115</v>
      </c>
      <c r="R15" s="19"/>
      <c r="S15" s="17"/>
      <c r="T15" s="21" t="str">
        <f aca="false">IF(G15=3,-L15,IF(ISNUMBER(O15),-(L15-O15*P15/1000),IF(ISNUMBER(R15),-R15,"n/a")))</f>
        <v>n/a</v>
      </c>
      <c r="U15" s="19" t="n">
        <v>710</v>
      </c>
      <c r="V15" s="19" t="n">
        <v>0</v>
      </c>
      <c r="W15" s="21" t="n">
        <f aca="false">(U15-V15)*J15/1000</f>
        <v>710</v>
      </c>
      <c r="X15" s="24" t="n">
        <f aca="false">Inputs!$B$5</f>
        <v>1</v>
      </c>
      <c r="Y15" s="21" t="n">
        <f aca="false">N15*X15</f>
        <v>1436</v>
      </c>
      <c r="Z15" s="18" t="s">
        <v>159</v>
      </c>
      <c r="AA15" s="17" t="s">
        <v>160</v>
      </c>
      <c r="AB15" s="5" t="s">
        <v>43</v>
      </c>
    </row>
    <row r="16" customFormat="false" ht="63.75" hidden="false" customHeight="true" outlineLevel="0" collapsed="false">
      <c r="A16" s="16" t="s">
        <v>44</v>
      </c>
      <c r="B16" s="17" t="s">
        <v>108</v>
      </c>
      <c r="C16" s="17" t="s">
        <v>109</v>
      </c>
      <c r="D16" s="18" t="s">
        <v>161</v>
      </c>
      <c r="E16" s="18" t="s">
        <v>111</v>
      </c>
      <c r="F16" s="18" t="s">
        <v>112</v>
      </c>
      <c r="G16" s="18" t="n">
        <v>6</v>
      </c>
      <c r="H16" s="17" t="s">
        <v>113</v>
      </c>
      <c r="I16" s="19" t="n">
        <v>-6036</v>
      </c>
      <c r="J16" s="20" t="n">
        <v>1000</v>
      </c>
      <c r="K16" s="18" t="s">
        <v>121</v>
      </c>
      <c r="L16" s="21" t="n">
        <f aca="false">I16*J16/1000</f>
        <v>-6036</v>
      </c>
      <c r="M16" s="22" t="n">
        <f aca="false">G16/3</f>
        <v>2</v>
      </c>
      <c r="N16" s="23" t="n">
        <f aca="false">-L16/M16</f>
        <v>3018</v>
      </c>
      <c r="O16" s="19"/>
      <c r="P16" s="20"/>
      <c r="Q16" s="17" t="s">
        <v>115</v>
      </c>
      <c r="R16" s="19"/>
      <c r="S16" s="17"/>
      <c r="T16" s="21" t="str">
        <f aca="false">IF(G16=3,-L16,IF(ISNUMBER(O16),-(L16-O16*P16/1000),IF(ISNUMBER(R16),-R16,"n/a")))</f>
        <v>n/a</v>
      </c>
      <c r="U16" s="19" t="n">
        <v>7818</v>
      </c>
      <c r="V16" s="19" t="n">
        <v>0</v>
      </c>
      <c r="W16" s="21" t="n">
        <f aca="false">(U16-V16)*J16/1000</f>
        <v>7818</v>
      </c>
      <c r="X16" s="24" t="n">
        <f aca="false">Inputs!$B$5</f>
        <v>1</v>
      </c>
      <c r="Y16" s="21" t="n">
        <f aca="false">N16*X16</f>
        <v>3018</v>
      </c>
      <c r="Z16" s="18" t="s">
        <v>162</v>
      </c>
      <c r="AA16" s="17" t="s">
        <v>163</v>
      </c>
      <c r="AB16" s="5" t="s">
        <v>46</v>
      </c>
    </row>
    <row r="17" customFormat="false" ht="63.75" hidden="false" customHeight="true" outlineLevel="0" collapsed="false">
      <c r="A17" s="16" t="s">
        <v>47</v>
      </c>
      <c r="B17" s="17" t="s">
        <v>118</v>
      </c>
      <c r="C17" s="17" t="s">
        <v>119</v>
      </c>
      <c r="D17" s="18" t="s">
        <v>149</v>
      </c>
      <c r="E17" s="18" t="s">
        <v>111</v>
      </c>
      <c r="F17" s="18" t="s">
        <v>112</v>
      </c>
      <c r="G17" s="18" t="n">
        <v>6</v>
      </c>
      <c r="H17" s="17" t="s">
        <v>113</v>
      </c>
      <c r="I17" s="19" t="n">
        <v>-4567606</v>
      </c>
      <c r="J17" s="20" t="n">
        <v>1</v>
      </c>
      <c r="K17" s="18" t="s">
        <v>121</v>
      </c>
      <c r="L17" s="21" t="n">
        <f aca="false">I17*J17/1000</f>
        <v>-4567.606</v>
      </c>
      <c r="M17" s="22" t="n">
        <f aca="false">G17/3</f>
        <v>2</v>
      </c>
      <c r="N17" s="23" t="n">
        <f aca="false">-L17/M17</f>
        <v>2283.803</v>
      </c>
      <c r="O17" s="19" t="n">
        <v>-2148891</v>
      </c>
      <c r="P17" s="20" t="n">
        <v>1</v>
      </c>
      <c r="Q17" s="17" t="s">
        <v>164</v>
      </c>
      <c r="R17" s="19"/>
      <c r="S17" s="17"/>
      <c r="T17" s="21" t="n">
        <f aca="false">IF(G17=3,-L17,IF(ISNUMBER(O17),-(L17-O17*P17/1000),IF(ISNUMBER(R17),-R17,"n/a")))</f>
        <v>2418.715</v>
      </c>
      <c r="U17" s="19" t="n">
        <v>883696</v>
      </c>
      <c r="V17" s="19" t="n">
        <v>0</v>
      </c>
      <c r="W17" s="21" t="n">
        <f aca="false">(U17-V17)*J17/1000</f>
        <v>883.696</v>
      </c>
      <c r="X17" s="24" t="n">
        <f aca="false">Inputs!$B$5</f>
        <v>1</v>
      </c>
      <c r="Y17" s="21" t="n">
        <f aca="false">N17*X17</f>
        <v>2283.803</v>
      </c>
      <c r="Z17" s="18" t="s">
        <v>165</v>
      </c>
      <c r="AA17" s="17" t="s">
        <v>166</v>
      </c>
      <c r="AB17" s="5"/>
    </row>
    <row r="18" customFormat="false" ht="63.75" hidden="false" customHeight="true" outlineLevel="0" collapsed="false">
      <c r="A18" s="16" t="s">
        <v>49</v>
      </c>
      <c r="B18" s="17" t="s">
        <v>118</v>
      </c>
      <c r="C18" s="17" t="s">
        <v>119</v>
      </c>
      <c r="D18" s="18" t="s">
        <v>149</v>
      </c>
      <c r="E18" s="18" t="s">
        <v>111</v>
      </c>
      <c r="F18" s="18" t="s">
        <v>112</v>
      </c>
      <c r="G18" s="18" t="n">
        <v>6</v>
      </c>
      <c r="H18" s="17" t="s">
        <v>167</v>
      </c>
      <c r="I18" s="19" t="n">
        <v>-8713</v>
      </c>
      <c r="J18" s="20" t="n">
        <v>1000</v>
      </c>
      <c r="K18" s="18" t="s">
        <v>121</v>
      </c>
      <c r="L18" s="21" t="n">
        <f aca="false">I18*J18/1000</f>
        <v>-8713</v>
      </c>
      <c r="M18" s="22" t="n">
        <f aca="false">G18/3</f>
        <v>2</v>
      </c>
      <c r="N18" s="23" t="n">
        <f aca="false">-L18/M18</f>
        <v>4356.5</v>
      </c>
      <c r="O18" s="19" t="n">
        <v>-4254</v>
      </c>
      <c r="P18" s="20" t="n">
        <v>1000</v>
      </c>
      <c r="Q18" s="17" t="s">
        <v>168</v>
      </c>
      <c r="R18" s="19" t="n">
        <v>-4459</v>
      </c>
      <c r="S18" s="17" t="s">
        <v>169</v>
      </c>
      <c r="T18" s="21" t="n">
        <f aca="false">IF(G18=3,-L18,IF(ISNUMBER(O18),-(L18-O18*P18/1000),IF(ISNUMBER(R18),-R18,"n/a")))</f>
        <v>4459</v>
      </c>
      <c r="U18" s="19" t="n">
        <v>17220</v>
      </c>
      <c r="V18" s="19" t="n">
        <v>0</v>
      </c>
      <c r="W18" s="21" t="n">
        <f aca="false">(U18-V18)*J18/1000</f>
        <v>17220</v>
      </c>
      <c r="X18" s="24" t="n">
        <f aca="false">Inputs!$B$5</f>
        <v>1</v>
      </c>
      <c r="Y18" s="21" t="n">
        <f aca="false">N18*X18</f>
        <v>4356.5</v>
      </c>
      <c r="Z18" s="18" t="s">
        <v>170</v>
      </c>
      <c r="AA18" s="17" t="s">
        <v>171</v>
      </c>
      <c r="AB18" s="5" t="s">
        <v>51</v>
      </c>
    </row>
    <row r="19" customFormat="false" ht="63.75" hidden="false" customHeight="true" outlineLevel="0" collapsed="false">
      <c r="A19" s="16" t="s">
        <v>52</v>
      </c>
      <c r="B19" s="17" t="s">
        <v>118</v>
      </c>
      <c r="C19" s="17" t="s">
        <v>172</v>
      </c>
      <c r="D19" s="18" t="s">
        <v>173</v>
      </c>
      <c r="E19" s="18" t="s">
        <v>174</v>
      </c>
      <c r="F19" s="18" t="s">
        <v>125</v>
      </c>
      <c r="G19" s="18" t="n">
        <v>3</v>
      </c>
      <c r="H19" s="17" t="s">
        <v>113</v>
      </c>
      <c r="I19" s="19" t="n">
        <v>-10240</v>
      </c>
      <c r="J19" s="20" t="n">
        <v>1000</v>
      </c>
      <c r="K19" s="18" t="s">
        <v>121</v>
      </c>
      <c r="L19" s="21" t="n">
        <f aca="false">I19*J19/1000</f>
        <v>-10240</v>
      </c>
      <c r="M19" s="22" t="n">
        <f aca="false">G19/3</f>
        <v>1</v>
      </c>
      <c r="N19" s="23" t="n">
        <f aca="false">-L19/M19</f>
        <v>10240</v>
      </c>
      <c r="O19" s="19"/>
      <c r="P19" s="20"/>
      <c r="Q19" s="17" t="s">
        <v>175</v>
      </c>
      <c r="R19" s="19"/>
      <c r="S19" s="17"/>
      <c r="T19" s="21" t="n">
        <f aca="false">IF(G19=3,-L19,IF(ISNUMBER(O19),-(L19-O19*P19/1000),IF(ISNUMBER(R19),-R19,"n/a")))</f>
        <v>10240</v>
      </c>
      <c r="U19" s="19" t="n">
        <v>7356</v>
      </c>
      <c r="V19" s="19" t="n">
        <v>0</v>
      </c>
      <c r="W19" s="21" t="n">
        <f aca="false">(U19-V19)*J19/1000</f>
        <v>7356</v>
      </c>
      <c r="X19" s="24" t="n">
        <f aca="false">Inputs!$B$5</f>
        <v>1</v>
      </c>
      <c r="Y19" s="21" t="n">
        <f aca="false">N19*X19</f>
        <v>10240</v>
      </c>
      <c r="Z19" s="18" t="s">
        <v>176</v>
      </c>
      <c r="AA19" s="17" t="s">
        <v>177</v>
      </c>
      <c r="AB19" s="5" t="s">
        <v>55</v>
      </c>
    </row>
    <row r="20" customFormat="false" ht="63.75" hidden="false" customHeight="true" outlineLevel="0" collapsed="false">
      <c r="A20" s="16" t="s">
        <v>56</v>
      </c>
      <c r="B20" s="17" t="s">
        <v>118</v>
      </c>
      <c r="C20" s="17" t="s">
        <v>119</v>
      </c>
      <c r="D20" s="18" t="s">
        <v>178</v>
      </c>
      <c r="E20" s="18" t="s">
        <v>111</v>
      </c>
      <c r="F20" s="18" t="s">
        <v>112</v>
      </c>
      <c r="G20" s="18" t="n">
        <v>6</v>
      </c>
      <c r="H20" s="17" t="s">
        <v>113</v>
      </c>
      <c r="I20" s="19" t="n">
        <v>-8013263</v>
      </c>
      <c r="J20" s="20" t="n">
        <v>1</v>
      </c>
      <c r="K20" s="18" t="s">
        <v>121</v>
      </c>
      <c r="L20" s="21" t="n">
        <f aca="false">I20*J20/1000</f>
        <v>-8013.263</v>
      </c>
      <c r="M20" s="22" t="n">
        <f aca="false">G20/3</f>
        <v>2</v>
      </c>
      <c r="N20" s="23" t="n">
        <f aca="false">-L20/M20</f>
        <v>4006.6315</v>
      </c>
      <c r="O20" s="19" t="n">
        <v>-4868923</v>
      </c>
      <c r="P20" s="20" t="n">
        <v>1</v>
      </c>
      <c r="Q20" s="17" t="s">
        <v>179</v>
      </c>
      <c r="R20" s="19"/>
      <c r="S20" s="17"/>
      <c r="T20" s="21" t="n">
        <f aca="false">IF(G20=3,-L20,IF(ISNUMBER(O20),-(L20-O20*P20/1000),IF(ISNUMBER(R20),-R20,"n/a")))</f>
        <v>3144.34</v>
      </c>
      <c r="U20" s="19" t="n">
        <v>3845606</v>
      </c>
      <c r="V20" s="19" t="n">
        <v>0</v>
      </c>
      <c r="W20" s="21" t="n">
        <f aca="false">(U20-V20)*J20/1000</f>
        <v>3845.606</v>
      </c>
      <c r="X20" s="24" t="n">
        <f aca="false">Inputs!$B$5</f>
        <v>1</v>
      </c>
      <c r="Y20" s="21" t="n">
        <f aca="false">N20*X20</f>
        <v>4006.6315</v>
      </c>
      <c r="Z20" s="18" t="s">
        <v>180</v>
      </c>
      <c r="AA20" s="17" t="s">
        <v>181</v>
      </c>
      <c r="AB20" s="5" t="s">
        <v>58</v>
      </c>
    </row>
    <row r="21" customFormat="false" ht="63.75" hidden="false" customHeight="true" outlineLevel="0" collapsed="false">
      <c r="A21" s="16" t="s">
        <v>59</v>
      </c>
      <c r="B21" s="17" t="s">
        <v>118</v>
      </c>
      <c r="C21" s="17" t="s">
        <v>119</v>
      </c>
      <c r="D21" s="18" t="s">
        <v>149</v>
      </c>
      <c r="E21" s="18" t="s">
        <v>111</v>
      </c>
      <c r="F21" s="18" t="s">
        <v>112</v>
      </c>
      <c r="G21" s="18" t="n">
        <v>6</v>
      </c>
      <c r="H21" s="17" t="s">
        <v>182</v>
      </c>
      <c r="I21" s="19" t="n">
        <v>-10377</v>
      </c>
      <c r="J21" s="20" t="n">
        <v>1000</v>
      </c>
      <c r="K21" s="18" t="s">
        <v>121</v>
      </c>
      <c r="L21" s="21" t="n">
        <f aca="false">I21*J21/1000</f>
        <v>-10377</v>
      </c>
      <c r="M21" s="22" t="n">
        <f aca="false">G21/3</f>
        <v>2</v>
      </c>
      <c r="N21" s="23" t="n">
        <f aca="false">-L21/M21</f>
        <v>5188.5</v>
      </c>
      <c r="O21" s="19" t="n">
        <v>-7598</v>
      </c>
      <c r="P21" s="20" t="n">
        <v>1000</v>
      </c>
      <c r="Q21" s="17" t="s">
        <v>183</v>
      </c>
      <c r="R21" s="19"/>
      <c r="S21" s="17"/>
      <c r="T21" s="21" t="n">
        <f aca="false">IF(G21=3,-L21,IF(ISNUMBER(O21),-(L21-O21*P21/1000),IF(ISNUMBER(R21),-R21,"n/a")))</f>
        <v>2779</v>
      </c>
      <c r="U21" s="19" t="n">
        <v>779</v>
      </c>
      <c r="V21" s="19" t="n">
        <v>0</v>
      </c>
      <c r="W21" s="21" t="n">
        <f aca="false">(U21-V21)*J21/1000</f>
        <v>779</v>
      </c>
      <c r="X21" s="24" t="n">
        <f aca="false">Inputs!$B$5</f>
        <v>1</v>
      </c>
      <c r="Y21" s="21" t="n">
        <f aca="false">N21*X21</f>
        <v>5188.5</v>
      </c>
      <c r="Z21" s="18" t="s">
        <v>184</v>
      </c>
      <c r="AA21" s="17" t="s">
        <v>185</v>
      </c>
      <c r="AB21" s="5" t="s">
        <v>61</v>
      </c>
    </row>
    <row r="22" customFormat="false" ht="63.75" hidden="false" customHeight="true" outlineLevel="0" collapsed="false">
      <c r="A22" s="16" t="s">
        <v>62</v>
      </c>
      <c r="B22" s="17" t="s">
        <v>108</v>
      </c>
      <c r="C22" s="17" t="s">
        <v>109</v>
      </c>
      <c r="D22" s="18" t="s">
        <v>138</v>
      </c>
      <c r="E22" s="18" t="s">
        <v>111</v>
      </c>
      <c r="F22" s="18" t="s">
        <v>112</v>
      </c>
      <c r="G22" s="18" t="n">
        <v>6</v>
      </c>
      <c r="H22" s="17" t="s">
        <v>113</v>
      </c>
      <c r="I22" s="19" t="n">
        <v>-1444</v>
      </c>
      <c r="J22" s="20" t="n">
        <v>1000</v>
      </c>
      <c r="K22" s="18" t="s">
        <v>121</v>
      </c>
      <c r="L22" s="21" t="n">
        <f aca="false">I22*J22/1000</f>
        <v>-1444</v>
      </c>
      <c r="M22" s="22" t="n">
        <f aca="false">G22/3</f>
        <v>2</v>
      </c>
      <c r="N22" s="23" t="n">
        <f aca="false">-L22/M22</f>
        <v>722</v>
      </c>
      <c r="O22" s="19"/>
      <c r="P22" s="20"/>
      <c r="Q22" s="17" t="s">
        <v>115</v>
      </c>
      <c r="R22" s="19"/>
      <c r="S22" s="17"/>
      <c r="T22" s="21" t="str">
        <f aca="false">IF(G22=3,-L22,IF(ISNUMBER(O22),-(L22-O22*P22/1000),IF(ISNUMBER(R22),-R22,"n/a")))</f>
        <v>n/a</v>
      </c>
      <c r="U22" s="19" t="n">
        <v>8152</v>
      </c>
      <c r="V22" s="19" t="n">
        <v>0</v>
      </c>
      <c r="W22" s="21" t="n">
        <f aca="false">(U22-V22)*J22/1000</f>
        <v>8152</v>
      </c>
      <c r="X22" s="24" t="n">
        <f aca="false">Inputs!$B$5</f>
        <v>1</v>
      </c>
      <c r="Y22" s="21" t="n">
        <f aca="false">N22*X22</f>
        <v>722</v>
      </c>
      <c r="Z22" s="18" t="s">
        <v>186</v>
      </c>
      <c r="AA22" s="17" t="s">
        <v>187</v>
      </c>
      <c r="AB22" s="5" t="s">
        <v>64</v>
      </c>
    </row>
    <row r="24" customFormat="false" ht="15" hidden="false" customHeight="false" outlineLevel="0" collapsed="false">
      <c r="A24" s="10" t="s">
        <v>188</v>
      </c>
      <c r="B24" s="25" t="s">
        <v>189</v>
      </c>
      <c r="H24" s="10" t="str">
        <f aca="false">IF(ABS(-(L18-O18*P18/1000)-(-R18))&lt;0.001,"PASS","FAIL")</f>
        <v>PASS</v>
      </c>
    </row>
  </sheetData>
  <hyperlinks>
    <hyperlink ref="AA5" r:id="rId1" display="https://www.sec.gov/Archives/edgar/data/1574232/000110465926111142/adxn-20260630xex99d1.htm"/>
    <hyperlink ref="AA6" r:id="rId2" display="https://www.sec.gov/Archives/edgar/data/1837607/000183760726000062/aeon-20260630x10q.htm"/>
    <hyperlink ref="AA7" r:id="rId3" display="https://www.sec.gov/Archives/edgar/data/1684688/000149315226035635/ex99-1.htm"/>
    <hyperlink ref="AA8" r:id="rId4" display="https://www.sec.gov/Archives/edgar/data/1870144/000107997326001016/cdio_10q-063026.htm"/>
    <hyperlink ref="AA9" r:id="rId5" display="https://www.sec.gov/Archives/edgar/data/1574565/000117891326004636/exhibit_99-1.htm"/>
    <hyperlink ref="AA10" r:id="rId6" display="https://www.sec.gov/Archives/edgar/data/736012/000168316826006209/intrusion_i10q-063026.htm"/>
    <hyperlink ref="AA11" r:id="rId7" display="https://www.sec.gov/Archives/edgar/data/1962011/000149315226037355/form10-q.htm"/>
    <hyperlink ref="AA12" r:id="rId8" display="https://www.sec.gov/Archives/edgar/data/1372514/000137251426000074/kprx-20260630.htm"/>
    <hyperlink ref="AA13" r:id="rId9" display="https://www.sec.gov/Archives/edgar/data/828146/000110465926096041/link-20260630x10q.htm"/>
    <hyperlink ref="AA14" r:id="rId10" display="https://www.sec.gov/Archives/edgar/data/1708441/000170844126000102/mynd-20260630_d2.htm"/>
    <hyperlink ref="AA15" r:id="rId11" display="https://www.sec.gov/Archives/edgar/data/1783036/000121390026101419/ea030514101ex99-1.htm"/>
    <hyperlink ref="AA16" r:id="rId12" display="https://www.sec.gov/Archives/edgar/data/2029039/000149315226038651/ex99-1.htm"/>
    <hyperlink ref="AA17" r:id="rId13" display="https://www.sec.gov/Archives/edgar/data/1817004/000149315226037738/form10-q.htm"/>
    <hyperlink ref="AA18" r:id="rId14" display="https://www.sec.gov/Archives/edgar/data/1577445/000149315226037618/form10-q.htm"/>
    <hyperlink ref="AA19" r:id="rId15" display="https://www.sec.gov/Archives/edgar/data/1378140/000149315226042579/form10-q.htm"/>
    <hyperlink ref="AA20" r:id="rId16" display="https://www.sec.gov/Archives/edgar/data/1671502/000110465926097064/qnrx-20260630x10q.htm"/>
    <hyperlink ref="AA21" r:id="rId17" display="https://www.sec.gov/Archives/edgar/data/1544227/000119312526349381/tpst-20260630.htm"/>
    <hyperlink ref="AA22" r:id="rId18" display="https://www.sec.gov/Archives/edgar/data/1846715/000121390026087513/ea030083701ex99-1.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44"/>
    <col collapsed="false" customWidth="true" hidden="false" outlineLevel="0" max="4" min="4" style="0" width="10"/>
    <col collapsed="false" customWidth="true" hidden="false" outlineLevel="0" max="5" min="5" style="0" width="11"/>
    <col collapsed="false" customWidth="true" hidden="false" outlineLevel="0" max="6" min="6" style="0" width="22"/>
    <col collapsed="false" customWidth="true" hidden="false" outlineLevel="0" max="7" min="7" style="0" width="40"/>
    <col collapsed="false" customWidth="true" hidden="false" outlineLevel="0" max="8" min="8" style="0" width="90"/>
  </cols>
  <sheetData>
    <row r="1" customFormat="false" ht="16.15" hidden="false" customHeight="false" outlineLevel="0" collapsed="false">
      <c r="A1" s="1" t="s">
        <v>190</v>
      </c>
    </row>
    <row r="3" customFormat="false" ht="15" hidden="false" customHeight="false" outlineLevel="0" collapsed="false">
      <c r="A3" s="3" t="s">
        <v>191</v>
      </c>
      <c r="B3" s="3" t="s">
        <v>2</v>
      </c>
      <c r="C3" s="3" t="s">
        <v>192</v>
      </c>
      <c r="D3" s="3" t="s">
        <v>193</v>
      </c>
      <c r="E3" s="3" t="s">
        <v>85</v>
      </c>
      <c r="F3" s="3" t="s">
        <v>194</v>
      </c>
      <c r="G3" s="3" t="s">
        <v>195</v>
      </c>
      <c r="H3" s="3" t="s">
        <v>196</v>
      </c>
    </row>
    <row r="4" customFormat="false" ht="15" hidden="false" customHeight="false" outlineLevel="0" collapsed="false">
      <c r="A4" s="5" t="n">
        <v>1</v>
      </c>
      <c r="B4" s="5" t="s">
        <v>12</v>
      </c>
      <c r="C4" s="5" t="s">
        <v>197</v>
      </c>
      <c r="D4" s="5" t="s">
        <v>198</v>
      </c>
      <c r="E4" s="5" t="s">
        <v>110</v>
      </c>
      <c r="F4" s="5" t="s">
        <v>116</v>
      </c>
      <c r="G4" s="5" t="s">
        <v>199</v>
      </c>
      <c r="H4" s="26" t="s">
        <v>117</v>
      </c>
    </row>
    <row r="5" customFormat="false" ht="15" hidden="false" customHeight="false" outlineLevel="0" collapsed="false">
      <c r="A5" s="5" t="n">
        <v>2</v>
      </c>
      <c r="B5" s="5" t="s">
        <v>16</v>
      </c>
      <c r="C5" s="5" t="s">
        <v>200</v>
      </c>
      <c r="D5" s="5" t="s">
        <v>119</v>
      </c>
      <c r="E5" s="5" t="s">
        <v>120</v>
      </c>
      <c r="F5" s="5" t="s">
        <v>123</v>
      </c>
      <c r="G5" s="5" t="s">
        <v>199</v>
      </c>
      <c r="H5" s="26" t="s">
        <v>124</v>
      </c>
    </row>
    <row r="6" customFormat="false" ht="15" hidden="false" customHeight="false" outlineLevel="0" collapsed="false">
      <c r="A6" s="5" t="n">
        <v>3</v>
      </c>
      <c r="B6" s="5" t="s">
        <v>16</v>
      </c>
      <c r="C6" s="5" t="s">
        <v>201</v>
      </c>
      <c r="D6" s="5" t="s">
        <v>119</v>
      </c>
      <c r="E6" s="5" t="s">
        <v>202</v>
      </c>
      <c r="F6" s="5" t="s">
        <v>203</v>
      </c>
      <c r="G6" s="5" t="s">
        <v>204</v>
      </c>
      <c r="H6" s="26" t="s">
        <v>205</v>
      </c>
    </row>
    <row r="7" customFormat="false" ht="15" hidden="false" customHeight="false" outlineLevel="0" collapsed="false">
      <c r="A7" s="5" t="n">
        <v>4</v>
      </c>
      <c r="B7" s="5" t="s">
        <v>19</v>
      </c>
      <c r="C7" s="5" t="s">
        <v>206</v>
      </c>
      <c r="D7" s="5" t="s">
        <v>198</v>
      </c>
      <c r="E7" s="5" t="s">
        <v>125</v>
      </c>
      <c r="F7" s="5" t="s">
        <v>127</v>
      </c>
      <c r="G7" s="5" t="s">
        <v>199</v>
      </c>
      <c r="H7" s="26" t="s">
        <v>128</v>
      </c>
    </row>
    <row r="8" customFormat="false" ht="15" hidden="false" customHeight="false" outlineLevel="0" collapsed="false">
      <c r="A8" s="5" t="n">
        <v>5</v>
      </c>
      <c r="B8" s="5" t="s">
        <v>22</v>
      </c>
      <c r="C8" s="5" t="s">
        <v>207</v>
      </c>
      <c r="D8" s="5" t="s">
        <v>119</v>
      </c>
      <c r="E8" s="5" t="s">
        <v>129</v>
      </c>
      <c r="F8" s="5" t="s">
        <v>132</v>
      </c>
      <c r="G8" s="5" t="s">
        <v>199</v>
      </c>
      <c r="H8" s="26" t="s">
        <v>133</v>
      </c>
    </row>
    <row r="9" customFormat="false" ht="15" hidden="false" customHeight="false" outlineLevel="0" collapsed="false">
      <c r="A9" s="5" t="n">
        <v>6</v>
      </c>
      <c r="B9" s="5" t="s">
        <v>22</v>
      </c>
      <c r="C9" s="5" t="s">
        <v>208</v>
      </c>
      <c r="D9" s="5" t="s">
        <v>119</v>
      </c>
      <c r="E9" s="5" t="s">
        <v>209</v>
      </c>
      <c r="F9" s="5" t="s">
        <v>210</v>
      </c>
      <c r="G9" s="5" t="s">
        <v>204</v>
      </c>
      <c r="H9" s="26" t="s">
        <v>211</v>
      </c>
    </row>
    <row r="10" customFormat="false" ht="15" hidden="false" customHeight="false" outlineLevel="0" collapsed="false">
      <c r="A10" s="5" t="n">
        <v>7</v>
      </c>
      <c r="B10" s="5" t="s">
        <v>25</v>
      </c>
      <c r="C10" s="5" t="s">
        <v>212</v>
      </c>
      <c r="D10" s="5" t="s">
        <v>198</v>
      </c>
      <c r="E10" s="5" t="s">
        <v>110</v>
      </c>
      <c r="F10" s="5" t="s">
        <v>136</v>
      </c>
      <c r="G10" s="5" t="s">
        <v>199</v>
      </c>
      <c r="H10" s="26" t="s">
        <v>137</v>
      </c>
    </row>
    <row r="11" customFormat="false" ht="15" hidden="false" customHeight="false" outlineLevel="0" collapsed="false">
      <c r="A11" s="5" t="n">
        <v>8</v>
      </c>
      <c r="B11" s="5" t="s">
        <v>25</v>
      </c>
      <c r="C11" s="5" t="s">
        <v>212</v>
      </c>
      <c r="D11" s="5" t="s">
        <v>198</v>
      </c>
      <c r="E11" s="5" t="s">
        <v>213</v>
      </c>
      <c r="F11" s="5" t="s">
        <v>214</v>
      </c>
      <c r="G11" s="5" t="s">
        <v>215</v>
      </c>
      <c r="H11" s="26" t="s">
        <v>216</v>
      </c>
    </row>
    <row r="12" customFormat="false" ht="15" hidden="false" customHeight="false" outlineLevel="0" collapsed="false">
      <c r="A12" s="5" t="n">
        <v>9</v>
      </c>
      <c r="B12" s="5" t="s">
        <v>28</v>
      </c>
      <c r="C12" s="5" t="s">
        <v>217</v>
      </c>
      <c r="D12" s="5" t="s">
        <v>119</v>
      </c>
      <c r="E12" s="5" t="s">
        <v>138</v>
      </c>
      <c r="F12" s="5" t="s">
        <v>140</v>
      </c>
      <c r="G12" s="5" t="s">
        <v>199</v>
      </c>
      <c r="H12" s="26" t="s">
        <v>141</v>
      </c>
    </row>
    <row r="13" customFormat="false" ht="15" hidden="false" customHeight="false" outlineLevel="0" collapsed="false">
      <c r="A13" s="5" t="n">
        <v>10</v>
      </c>
      <c r="B13" s="5" t="s">
        <v>28</v>
      </c>
      <c r="C13" s="5" t="s">
        <v>218</v>
      </c>
      <c r="D13" s="5" t="s">
        <v>119</v>
      </c>
      <c r="E13" s="5" t="s">
        <v>202</v>
      </c>
      <c r="F13" s="5" t="s">
        <v>219</v>
      </c>
      <c r="G13" s="5" t="s">
        <v>204</v>
      </c>
      <c r="H13" s="26" t="s">
        <v>220</v>
      </c>
    </row>
    <row r="14" customFormat="false" ht="15" hidden="false" customHeight="false" outlineLevel="0" collapsed="false">
      <c r="A14" s="5" t="n">
        <v>11</v>
      </c>
      <c r="B14" s="5" t="s">
        <v>31</v>
      </c>
      <c r="C14" s="5" t="s">
        <v>221</v>
      </c>
      <c r="D14" s="5" t="s">
        <v>119</v>
      </c>
      <c r="E14" s="5" t="s">
        <v>120</v>
      </c>
      <c r="F14" s="5" t="s">
        <v>143</v>
      </c>
      <c r="G14" s="5" t="s">
        <v>199</v>
      </c>
      <c r="H14" s="26" t="s">
        <v>144</v>
      </c>
    </row>
    <row r="15" customFormat="false" ht="15" hidden="false" customHeight="false" outlineLevel="0" collapsed="false">
      <c r="A15" s="5" t="n">
        <v>12</v>
      </c>
      <c r="B15" s="5" t="s">
        <v>31</v>
      </c>
      <c r="C15" s="5" t="s">
        <v>221</v>
      </c>
      <c r="D15" s="5" t="s">
        <v>119</v>
      </c>
      <c r="E15" s="5" t="s">
        <v>222</v>
      </c>
      <c r="F15" s="5" t="s">
        <v>223</v>
      </c>
      <c r="G15" s="5" t="s">
        <v>204</v>
      </c>
      <c r="H15" s="26" t="s">
        <v>224</v>
      </c>
    </row>
    <row r="16" customFormat="false" ht="15" hidden="false" customHeight="false" outlineLevel="0" collapsed="false">
      <c r="A16" s="5" t="n">
        <v>13</v>
      </c>
      <c r="B16" s="5" t="s">
        <v>33</v>
      </c>
      <c r="C16" s="5" t="s">
        <v>225</v>
      </c>
      <c r="D16" s="5" t="s">
        <v>119</v>
      </c>
      <c r="E16" s="5" t="s">
        <v>129</v>
      </c>
      <c r="F16" s="5" t="s">
        <v>147</v>
      </c>
      <c r="G16" s="5" t="s">
        <v>199</v>
      </c>
      <c r="H16" s="26" t="s">
        <v>148</v>
      </c>
    </row>
    <row r="17" customFormat="false" ht="15" hidden="false" customHeight="false" outlineLevel="0" collapsed="false">
      <c r="A17" s="5" t="n">
        <v>14</v>
      </c>
      <c r="B17" s="5" t="s">
        <v>33</v>
      </c>
      <c r="C17" s="5" t="s">
        <v>226</v>
      </c>
      <c r="D17" s="5" t="s">
        <v>119</v>
      </c>
      <c r="E17" s="5" t="s">
        <v>227</v>
      </c>
      <c r="F17" s="5" t="s">
        <v>228</v>
      </c>
      <c r="G17" s="5" t="s">
        <v>204</v>
      </c>
      <c r="H17" s="26" t="s">
        <v>229</v>
      </c>
    </row>
    <row r="18" customFormat="false" ht="15" hidden="false" customHeight="false" outlineLevel="0" collapsed="false">
      <c r="A18" s="5" t="n">
        <v>15</v>
      </c>
      <c r="B18" s="5" t="s">
        <v>36</v>
      </c>
      <c r="C18" s="5" t="s">
        <v>230</v>
      </c>
      <c r="D18" s="5" t="s">
        <v>119</v>
      </c>
      <c r="E18" s="5" t="s">
        <v>149</v>
      </c>
      <c r="F18" s="5" t="s">
        <v>152</v>
      </c>
      <c r="G18" s="5" t="s">
        <v>199</v>
      </c>
      <c r="H18" s="26" t="s">
        <v>153</v>
      </c>
    </row>
    <row r="19" customFormat="false" ht="15" hidden="false" customHeight="false" outlineLevel="0" collapsed="false">
      <c r="A19" s="5" t="n">
        <v>16</v>
      </c>
      <c r="B19" s="5" t="s">
        <v>36</v>
      </c>
      <c r="C19" s="5" t="s">
        <v>231</v>
      </c>
      <c r="D19" s="5" t="s">
        <v>119</v>
      </c>
      <c r="E19" s="5" t="s">
        <v>202</v>
      </c>
      <c r="F19" s="5" t="s">
        <v>232</v>
      </c>
      <c r="G19" s="5" t="s">
        <v>204</v>
      </c>
      <c r="H19" s="26" t="s">
        <v>233</v>
      </c>
    </row>
    <row r="20" customFormat="false" ht="15" hidden="false" customHeight="false" outlineLevel="0" collapsed="false">
      <c r="A20" s="5" t="n">
        <v>17</v>
      </c>
      <c r="B20" s="5" t="s">
        <v>38</v>
      </c>
      <c r="C20" s="5" t="s">
        <v>234</v>
      </c>
      <c r="D20" s="5" t="s">
        <v>198</v>
      </c>
      <c r="E20" s="5" t="s">
        <v>155</v>
      </c>
      <c r="F20" s="5" t="s">
        <v>156</v>
      </c>
      <c r="G20" s="5" t="s">
        <v>199</v>
      </c>
      <c r="H20" s="26" t="s">
        <v>157</v>
      </c>
    </row>
    <row r="21" customFormat="false" ht="15" hidden="false" customHeight="false" outlineLevel="0" collapsed="false">
      <c r="A21" s="5" t="n">
        <v>18</v>
      </c>
      <c r="B21" s="5" t="s">
        <v>41</v>
      </c>
      <c r="C21" s="5" t="s">
        <v>235</v>
      </c>
      <c r="D21" s="5" t="s">
        <v>198</v>
      </c>
      <c r="E21" s="5" t="s">
        <v>158</v>
      </c>
      <c r="F21" s="5" t="s">
        <v>159</v>
      </c>
      <c r="G21" s="5" t="s">
        <v>199</v>
      </c>
      <c r="H21" s="26" t="s">
        <v>160</v>
      </c>
    </row>
    <row r="22" customFormat="false" ht="15" hidden="false" customHeight="false" outlineLevel="0" collapsed="false">
      <c r="A22" s="5" t="n">
        <v>19</v>
      </c>
      <c r="B22" s="5" t="s">
        <v>44</v>
      </c>
      <c r="C22" s="5" t="s">
        <v>206</v>
      </c>
      <c r="D22" s="5" t="s">
        <v>198</v>
      </c>
      <c r="E22" s="5" t="s">
        <v>161</v>
      </c>
      <c r="F22" s="5" t="s">
        <v>162</v>
      </c>
      <c r="G22" s="5" t="s">
        <v>199</v>
      </c>
      <c r="H22" s="26" t="s">
        <v>163</v>
      </c>
    </row>
    <row r="23" customFormat="false" ht="15" hidden="false" customHeight="false" outlineLevel="0" collapsed="false">
      <c r="A23" s="5" t="n">
        <v>20</v>
      </c>
      <c r="B23" s="5" t="s">
        <v>47</v>
      </c>
      <c r="C23" s="5" t="s">
        <v>221</v>
      </c>
      <c r="D23" s="5" t="s">
        <v>119</v>
      </c>
      <c r="E23" s="5" t="s">
        <v>149</v>
      </c>
      <c r="F23" s="5" t="s">
        <v>165</v>
      </c>
      <c r="G23" s="5" t="s">
        <v>199</v>
      </c>
      <c r="H23" s="26" t="s">
        <v>166</v>
      </c>
    </row>
    <row r="24" customFormat="false" ht="15" hidden="false" customHeight="false" outlineLevel="0" collapsed="false">
      <c r="A24" s="5" t="n">
        <v>21</v>
      </c>
      <c r="B24" s="5" t="s">
        <v>47</v>
      </c>
      <c r="C24" s="5" t="s">
        <v>221</v>
      </c>
      <c r="D24" s="5" t="s">
        <v>119</v>
      </c>
      <c r="E24" s="5" t="s">
        <v>209</v>
      </c>
      <c r="F24" s="5" t="s">
        <v>236</v>
      </c>
      <c r="G24" s="5" t="s">
        <v>204</v>
      </c>
      <c r="H24" s="26" t="s">
        <v>237</v>
      </c>
    </row>
    <row r="25" customFormat="false" ht="15" hidden="false" customHeight="false" outlineLevel="0" collapsed="false">
      <c r="A25" s="5" t="n">
        <v>22</v>
      </c>
      <c r="B25" s="5" t="s">
        <v>49</v>
      </c>
      <c r="C25" s="5" t="s">
        <v>221</v>
      </c>
      <c r="D25" s="5" t="s">
        <v>119</v>
      </c>
      <c r="E25" s="5" t="s">
        <v>149</v>
      </c>
      <c r="F25" s="5" t="s">
        <v>170</v>
      </c>
      <c r="G25" s="5" t="s">
        <v>199</v>
      </c>
      <c r="H25" s="26" t="s">
        <v>171</v>
      </c>
    </row>
    <row r="26" customFormat="false" ht="15" hidden="false" customHeight="false" outlineLevel="0" collapsed="false">
      <c r="A26" s="5" t="n">
        <v>23</v>
      </c>
      <c r="B26" s="5" t="s">
        <v>49</v>
      </c>
      <c r="C26" s="5" t="s">
        <v>221</v>
      </c>
      <c r="D26" s="5" t="s">
        <v>119</v>
      </c>
      <c r="E26" s="5" t="s">
        <v>202</v>
      </c>
      <c r="F26" s="5" t="s">
        <v>238</v>
      </c>
      <c r="G26" s="5" t="s">
        <v>204</v>
      </c>
      <c r="H26" s="26" t="s">
        <v>239</v>
      </c>
    </row>
    <row r="27" customFormat="false" ht="15" hidden="false" customHeight="false" outlineLevel="0" collapsed="false">
      <c r="A27" s="5" t="n">
        <v>24</v>
      </c>
      <c r="B27" s="5" t="s">
        <v>52</v>
      </c>
      <c r="C27" s="5" t="s">
        <v>221</v>
      </c>
      <c r="D27" s="5" t="s">
        <v>119</v>
      </c>
      <c r="E27" s="5" t="s">
        <v>173</v>
      </c>
      <c r="F27" s="5" t="s">
        <v>176</v>
      </c>
      <c r="G27" s="5" t="s">
        <v>199</v>
      </c>
      <c r="H27" s="26" t="s">
        <v>177</v>
      </c>
    </row>
    <row r="28" customFormat="false" ht="15" hidden="false" customHeight="false" outlineLevel="0" collapsed="false">
      <c r="A28" s="5" t="n">
        <v>25</v>
      </c>
      <c r="B28" s="5" t="s">
        <v>56</v>
      </c>
      <c r="C28" s="5" t="s">
        <v>240</v>
      </c>
      <c r="D28" s="5" t="s">
        <v>119</v>
      </c>
      <c r="E28" s="5" t="s">
        <v>178</v>
      </c>
      <c r="F28" s="5" t="s">
        <v>180</v>
      </c>
      <c r="G28" s="5" t="s">
        <v>199</v>
      </c>
      <c r="H28" s="26" t="s">
        <v>181</v>
      </c>
    </row>
    <row r="29" customFormat="false" ht="15" hidden="false" customHeight="false" outlineLevel="0" collapsed="false">
      <c r="A29" s="5" t="n">
        <v>26</v>
      </c>
      <c r="B29" s="5" t="s">
        <v>56</v>
      </c>
      <c r="C29" s="5" t="s">
        <v>241</v>
      </c>
      <c r="D29" s="5" t="s">
        <v>119</v>
      </c>
      <c r="E29" s="5" t="s">
        <v>242</v>
      </c>
      <c r="F29" s="5" t="s">
        <v>243</v>
      </c>
      <c r="G29" s="5" t="s">
        <v>204</v>
      </c>
      <c r="H29" s="26" t="s">
        <v>244</v>
      </c>
    </row>
    <row r="30" customFormat="false" ht="15" hidden="false" customHeight="false" outlineLevel="0" collapsed="false">
      <c r="A30" s="5" t="n">
        <v>27</v>
      </c>
      <c r="B30" s="5" t="s">
        <v>59</v>
      </c>
      <c r="C30" s="5" t="s">
        <v>245</v>
      </c>
      <c r="D30" s="5" t="s">
        <v>119</v>
      </c>
      <c r="E30" s="5" t="s">
        <v>149</v>
      </c>
      <c r="F30" s="5" t="s">
        <v>184</v>
      </c>
      <c r="G30" s="5" t="s">
        <v>199</v>
      </c>
      <c r="H30" s="26" t="s">
        <v>185</v>
      </c>
    </row>
    <row r="31" customFormat="false" ht="15" hidden="false" customHeight="false" outlineLevel="0" collapsed="false">
      <c r="A31" s="5" t="n">
        <v>28</v>
      </c>
      <c r="B31" s="5" t="s">
        <v>59</v>
      </c>
      <c r="C31" s="5" t="s">
        <v>246</v>
      </c>
      <c r="D31" s="5" t="s">
        <v>119</v>
      </c>
      <c r="E31" s="5" t="s">
        <v>202</v>
      </c>
      <c r="F31" s="5" t="s">
        <v>247</v>
      </c>
      <c r="G31" s="5" t="s">
        <v>204</v>
      </c>
      <c r="H31" s="26" t="s">
        <v>248</v>
      </c>
    </row>
    <row r="32" customFormat="false" ht="15" hidden="false" customHeight="false" outlineLevel="0" collapsed="false">
      <c r="A32" s="5" t="n">
        <v>29</v>
      </c>
      <c r="B32" s="5" t="s">
        <v>62</v>
      </c>
      <c r="C32" s="5" t="s">
        <v>249</v>
      </c>
      <c r="D32" s="5" t="s">
        <v>198</v>
      </c>
      <c r="E32" s="5" t="s">
        <v>138</v>
      </c>
      <c r="F32" s="5" t="s">
        <v>186</v>
      </c>
      <c r="G32" s="5" t="s">
        <v>199</v>
      </c>
      <c r="H32" s="26" t="s">
        <v>187</v>
      </c>
    </row>
    <row r="33" customFormat="false" ht="15" hidden="false" customHeight="false" outlineLevel="0" collapsed="false">
      <c r="A33" s="5" t="n">
        <v>30</v>
      </c>
      <c r="B33" s="5" t="s">
        <v>12</v>
      </c>
      <c r="C33" s="5" t="s">
        <v>250</v>
      </c>
      <c r="D33" s="5" t="s">
        <v>198</v>
      </c>
      <c r="E33" s="5" t="s">
        <v>251</v>
      </c>
      <c r="F33" s="5" t="s">
        <v>252</v>
      </c>
      <c r="G33" s="5" t="s">
        <v>253</v>
      </c>
      <c r="H33" s="26" t="s">
        <v>254</v>
      </c>
    </row>
    <row r="34" customFormat="false" ht="15" hidden="false" customHeight="false" outlineLevel="0" collapsed="false">
      <c r="A34" s="5" t="n">
        <v>31</v>
      </c>
      <c r="B34" s="5" t="s">
        <v>12</v>
      </c>
      <c r="C34" s="5" t="s">
        <v>255</v>
      </c>
      <c r="D34" s="5" t="s">
        <v>256</v>
      </c>
      <c r="E34" s="5" t="s">
        <v>257</v>
      </c>
      <c r="F34" s="5" t="s">
        <v>257</v>
      </c>
      <c r="G34" s="5" t="s">
        <v>258</v>
      </c>
      <c r="H34" s="5" t="s">
        <v>259</v>
      </c>
    </row>
    <row r="35" customFormat="false" ht="15" hidden="false" customHeight="false" outlineLevel="0" collapsed="false">
      <c r="A35" s="5" t="n">
        <v>32</v>
      </c>
      <c r="B35" s="5" t="s">
        <v>260</v>
      </c>
      <c r="C35" s="5" t="s">
        <v>261</v>
      </c>
      <c r="D35" s="5" t="s">
        <v>262</v>
      </c>
      <c r="E35" s="5" t="s">
        <v>257</v>
      </c>
      <c r="F35" s="5" t="s">
        <v>257</v>
      </c>
      <c r="G35" s="5" t="s">
        <v>263</v>
      </c>
      <c r="H35" s="26" t="s">
        <v>264</v>
      </c>
    </row>
    <row r="36" customFormat="false" ht="15" hidden="false" customHeight="false" outlineLevel="0" collapsed="false">
      <c r="A36" s="5" t="n">
        <v>33</v>
      </c>
      <c r="B36" s="5" t="s">
        <v>260</v>
      </c>
      <c r="C36" s="5" t="s">
        <v>265</v>
      </c>
      <c r="D36" s="5" t="s">
        <v>262</v>
      </c>
      <c r="E36" s="5" t="s">
        <v>257</v>
      </c>
      <c r="F36" s="5" t="s">
        <v>257</v>
      </c>
      <c r="G36" s="5" t="s">
        <v>266</v>
      </c>
      <c r="H36" s="26" t="s">
        <v>267</v>
      </c>
    </row>
  </sheetData>
  <hyperlinks>
    <hyperlink ref="H4" r:id="rId1" display="https://www.sec.gov/Archives/edgar/data/1574232/000110465926111142/adxn-20260630xex99d1.htm"/>
    <hyperlink ref="H5" r:id="rId2" display="https://www.sec.gov/Archives/edgar/data/1837607/000183760726000062/aeon-20260630x10q.htm"/>
    <hyperlink ref="H6" r:id="rId3" display="https://www.sec.gov/Archives/edgar/data/1837607/000183760726000042/aeon-20260331x10q.htm"/>
    <hyperlink ref="H7" r:id="rId4" display="https://www.sec.gov/Archives/edgar/data/1684688/000149315226035635/ex99-1.htm"/>
    <hyperlink ref="H8" r:id="rId5" display="https://www.sec.gov/Archives/edgar/data/1870144/000107997326001016/cdio_10q-063026.htm"/>
    <hyperlink ref="H9" r:id="rId6" display="https://www.sec.gov/Archives/edgar/data/1870144/000155335026000089/cdio_10q-033126.htm"/>
    <hyperlink ref="H10" r:id="rId7" display="https://www.sec.gov/Archives/edgar/data/1574565/000117891326004636/exhibit_99-1.htm"/>
    <hyperlink ref="H11" r:id="rId8" display="https://www.sec.gov/Archives/edgar/data/1574565/000117891326004174/exhibit_99-1.htm"/>
    <hyperlink ref="H12" r:id="rId9" display="https://www.sec.gov/Archives/edgar/data/736012/000168316826006209/intrusion_i10q-063026.htm"/>
    <hyperlink ref="H13" r:id="rId10" display="https://www.sec.gov/Archives/edgar/data/736012/000168316826003931/intrusion_i10q-033126.htm"/>
    <hyperlink ref="H14" r:id="rId11" display="https://www.sec.gov/Archives/edgar/data/1962011/000149315226037355/form10-q.htm"/>
    <hyperlink ref="H15" r:id="rId12" display="https://www.sec.gov/Archives/edgar/data/1962011/000149315226022796/form10-q.htm"/>
    <hyperlink ref="H16" r:id="rId13" display="https://www.sec.gov/Archives/edgar/data/1372514/000137251426000074/kprx-20260630.htm"/>
    <hyperlink ref="H17" r:id="rId14" display="https://www.sec.gov/Archives/edgar/data/1372514/000137251426000047/kprx-20260331.htm"/>
    <hyperlink ref="H18" r:id="rId15" display="https://www.sec.gov/Archives/edgar/data/828146/000110465926096041/link-20260630x10q.htm"/>
    <hyperlink ref="H19" r:id="rId16" display="https://www.sec.gov/Archives/edgar/data/828146/000110465926061139/link-20260331x10q.htm"/>
    <hyperlink ref="H20" r:id="rId17" display="https://www.sec.gov/Archives/edgar/data/1708441/000170844126000102/mynd-20260630_d2.htm"/>
    <hyperlink ref="H21" r:id="rId18" display="https://www.sec.gov/Archives/edgar/data/1783036/000121390026101419/ea030514101ex99-1.htm"/>
    <hyperlink ref="H22" r:id="rId19" display="https://www.sec.gov/Archives/edgar/data/2029039/000149315226038651/ex99-1.htm"/>
    <hyperlink ref="H23" r:id="rId20" display="https://www.sec.gov/Archives/edgar/data/1817004/000149315226037738/form10-q.htm"/>
    <hyperlink ref="H24" r:id="rId21" display="https://www.sec.gov/Archives/edgar/data/1817004/000149315226023768/form10-q.htm"/>
    <hyperlink ref="H25" r:id="rId22" display="https://www.sec.gov/Archives/edgar/data/1577445/000149315226037618/form10-q.htm"/>
    <hyperlink ref="H26" r:id="rId23" display="https://www.sec.gov/Archives/edgar/data/1577445/000149315226023100/form10-q.htm"/>
    <hyperlink ref="H27" r:id="rId24" display="https://www.sec.gov/Archives/edgar/data/1378140/000149315226042579/form10-q.htm"/>
    <hyperlink ref="H28" r:id="rId25" display="https://www.sec.gov/Archives/edgar/data/1671502/000110465926097064/qnrx-20260630x10q.htm"/>
    <hyperlink ref="H29" r:id="rId26" display="https://www.sec.gov/Archives/edgar/data/1671502/000110465926056941/qnrx-20260331x10q.htm"/>
    <hyperlink ref="H30" r:id="rId27" display="https://www.sec.gov/Archives/edgar/data/1544227/000119312526349381/tpst-20260630.htm"/>
    <hyperlink ref="H31" r:id="rId28" display="https://www.sec.gov/Archives/edgar/data/1544227/000119312526224289/tpst-20260331.htm"/>
    <hyperlink ref="H32" r:id="rId29" display="https://www.sec.gov/Archives/edgar/data/1846715/000121390026087513/ea030083701ex99-1.htm"/>
    <hyperlink ref="H33" r:id="rId30" display="https://www.sec.gov/Archives/edgar/data/1574232/000117184326005744/exh_991.htm"/>
    <hyperlink ref="H35" r:id="rId31" display="https://www.sec.gov/files/company_tickers.json"/>
    <hyperlink ref="H36" r:id="rId32" location="%23%23%23%23%23%23%23%23%23.json" display="https://data.sec.gov/submissions/CIK##########.js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0"/>
  </cols>
  <sheetData>
    <row r="1" customFormat="false" ht="15" hidden="false" customHeight="false" outlineLevel="0" collapsed="false">
      <c r="A1" s="27" t="s">
        <v>268</v>
      </c>
    </row>
    <row r="2" customFormat="false" ht="23.85" hidden="false" customHeight="false" outlineLevel="0" collapsed="false">
      <c r="A2" s="28" t="s">
        <v>269</v>
      </c>
    </row>
    <row r="3" customFormat="false" ht="23.85" hidden="false" customHeight="false" outlineLevel="0" collapsed="false">
      <c r="A3" s="28" t="s">
        <v>270</v>
      </c>
    </row>
    <row r="4" customFormat="false" ht="15" hidden="false" customHeight="false" outlineLevel="0" collapsed="false">
      <c r="A4" s="28" t="s">
        <v>271</v>
      </c>
    </row>
    <row r="5" customFormat="false" ht="15" hidden="false" customHeight="false" outlineLevel="0" collapsed="false">
      <c r="A5" s="28" t="s">
        <v>272</v>
      </c>
    </row>
    <row r="6" customFormat="false" ht="15" hidden="false" customHeight="false" outlineLevel="0" collapsed="false">
      <c r="A6" s="28" t="s">
        <v>273</v>
      </c>
    </row>
    <row r="7" customFormat="false" ht="15" hidden="false" customHeight="false" outlineLevel="0" collapsed="false">
      <c r="A7" s="28"/>
    </row>
    <row r="8" customFormat="false" ht="15" hidden="false" customHeight="false" outlineLevel="0" collapsed="false">
      <c r="A8" s="27" t="s">
        <v>274</v>
      </c>
    </row>
    <row r="9" customFormat="false" ht="23.85" hidden="false" customHeight="false" outlineLevel="0" collapsed="false">
      <c r="A9" s="28" t="s">
        <v>275</v>
      </c>
    </row>
    <row r="10" customFormat="false" ht="23.85" hidden="false" customHeight="false" outlineLevel="0" collapsed="false">
      <c r="A10" s="28" t="s">
        <v>276</v>
      </c>
    </row>
    <row r="11" customFormat="false" ht="15" hidden="false" customHeight="false" outlineLevel="0" collapsed="false">
      <c r="A11" s="28" t="s">
        <v>277</v>
      </c>
    </row>
    <row r="12" customFormat="false" ht="15" hidden="false" customHeight="false" outlineLevel="0" collapsed="false">
      <c r="A12" s="28" t="s">
        <v>278</v>
      </c>
    </row>
    <row r="13" customFormat="false" ht="15" hidden="false" customHeight="false" outlineLevel="0" collapsed="false">
      <c r="A13" s="28" t="s">
        <v>279</v>
      </c>
    </row>
    <row r="14" customFormat="false" ht="15" hidden="false" customHeight="false" outlineLevel="0" collapsed="false">
      <c r="A14" s="28" t="s">
        <v>280</v>
      </c>
    </row>
    <row r="15" customFormat="false" ht="15" hidden="false" customHeight="false" outlineLevel="0" collapsed="false">
      <c r="A15" s="28" t="s">
        <v>281</v>
      </c>
    </row>
    <row r="16" customFormat="false" ht="15" hidden="false" customHeight="false" outlineLevel="0" collapsed="false">
      <c r="A16" s="28" t="s">
        <v>282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2026-10-03T18:52:25Z</dcterms:created>
  <dc:creator>openpyxl</dc:creator>
  <dc:description/>
  <dc:language>en-US</dc:language>
  <cp:lastModifiedBy/>
  <dcterms:modified xsi:type="dcterms:W3CDTF">2026-10-03T18:52:25Z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