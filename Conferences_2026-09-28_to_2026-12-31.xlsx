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Conferences" sheetId="2" r:id="rId2"/>
    <sheet name="Summary" sheetId="3" r:id="rId3"/>
    <sheet name="Leads" sheetId="4" r:id="rId4"/>
    <sheet name="SourceMap" sheetId="5" r:id="rId5"/>
    <sheet name="Audit" sheetId="6" r:id="rId6"/>
  </sheets>
  <definedNames>
    <definedName name="_xlnm._FilterDatabase" localSheetId="1" hidden="1">Conferences!$A$1:$O$61</definedName>
  </definedNames>
  <calcPr calcId="124519" fullCalcOnLoad="1"/>
</workbook>
</file>

<file path=xl/sharedStrings.xml><?xml version="1.0" encoding="utf-8"?>
<sst xmlns="http://schemas.openxmlformats.org/spreadsheetml/2006/main" count="900" uniqueCount="654">
  <si>
    <t>ID</t>
  </si>
  <si>
    <t>Source</t>
  </si>
  <si>
    <t>URL(s)</t>
  </si>
  <si>
    <t>Retrieved</t>
  </si>
  <si>
    <t>S1</t>
  </si>
  <si>
    <t>Comstock release (Lytham Fall 2026), GlobeNewswire 2026-09-28</t>
  </si>
  <si>
    <t>https://www.globenewswire.com/news-release/2026/09/28/3369705/0/en/comstock-to-participate-in-the-lytham-partners-fall-2026-investor-conference.html</t>
  </si>
  <si>
    <t>S2</t>
  </si>
  <si>
    <t>LiqTech release (Lytham Fall 2026), GlobeNewswire 2026-09-17</t>
  </si>
  <si>
    <t>https://www.globenewswire.com/news-release/2026/09/17/3364386/0/en/liqtech-to-participate-in-the-lytham-partners-fall-2026-investor-conference.html</t>
  </si>
  <si>
    <t>S3</t>
  </si>
  <si>
    <t>Smallcap Discoveries event page</t>
  </si>
  <si>
    <t>https://smallcapdiscoveries.com/annual-smallcap-discoveries-conference-2026/</t>
  </si>
  <si>
    <t>S4</t>
  </si>
  <si>
    <t>Avante release (Smallcap Discoveries), Nasdaq 2026-09-22</t>
  </si>
  <si>
    <t>https://www.nasdaq.com/press-release/avante-present-annual-smallcap-discoveries-conference-vancouver-2026-09-22</t>
  </si>
  <si>
    <t>S5</t>
  </si>
  <si>
    <t>ROTH Healthcare Opportunities release, GlobeNewswire 2026-09-22</t>
  </si>
  <si>
    <t>https://www.globenewswire.com/news-release/2026/09/22/3366425/0/en/roth-to-host-5th-annual-healthcare-opportunities-conference-on-september-29-in-new-york-city.html</t>
  </si>
  <si>
    <t>S6</t>
  </si>
  <si>
    <t>InvestorWire: ROTH investor events through June 2027</t>
  </si>
  <si>
    <t>https://www.investorwire.com/investor-news-breaks/investornewsbreaks-roth-capital-partners-hosts-and-sponsors-investor-events-through-june-2027/</t>
  </si>
  <si>
    <t>S7</t>
  </si>
  <si>
    <t>The Small Cap Showcase site</t>
  </si>
  <si>
    <t>https://www.smallcapshowcase.com/</t>
  </si>
  <si>
    <t>S8</t>
  </si>
  <si>
    <t>AI &amp; Tech Virtual Investor Conference agenda release, GlobeNewswire 2026-09-28</t>
  </si>
  <si>
    <t>https://www.globenewswire.com/news-release/2026/09/28/3369959/0/en/ai-tech-virtual-investor-conference-agenda-announced.html</t>
  </si>
  <si>
    <t>S9</t>
  </si>
  <si>
    <t>NewMediaWire: Oct 1 Virtual Investor Conference</t>
  </si>
  <si>
    <t>https://www.newmediawire.com/news/ai-tech-companies-present-live-and-take-investor-meetings-at-the-october-1-virtual-investor-conference-7090116</t>
  </si>
  <si>
    <t>S10</t>
  </si>
  <si>
    <t>Noble Oct 2026 virtual conference page</t>
  </si>
  <si>
    <t>https://nobleconference.com/virtual-october-2026/</t>
  </si>
  <si>
    <t>S11</t>
  </si>
  <si>
    <t>CBAK Energy release (Noble Oct), GlobeNewswire 2026-09-16</t>
  </si>
  <si>
    <t>https://www.globenewswire.com/news-release/2026/09/16/3363231/0/en/cbak-energy-to-present-at-noble-capital-markets-emerging-growth-virtual-equity-conference-on-october-1-2026.html</t>
  </si>
  <si>
    <t>S12</t>
  </si>
  <si>
    <t>NIBA Oct 6-7, 2026 conference page</t>
  </si>
  <si>
    <t>https://nibanet.org/conference/niba-october-6-7-2026-ft-lauderdale-fl-conference/</t>
  </si>
  <si>
    <t>S13</t>
  </si>
  <si>
    <t>B2i Digital: NIBA 153rd</t>
  </si>
  <si>
    <t>https://b2idigital.com/niba-153rd-investment-conference</t>
  </si>
  <si>
    <t>S14</t>
  </si>
  <si>
    <t>KOIL Energy release (three Oct conferences), GlobeNewswire 2026-09-24</t>
  </si>
  <si>
    <t>https://www.globenewswire.com/news-release/2026/09/24/3368678/0/en/koil-energy-to-present-at-three-october-investor-conferences.html</t>
  </si>
  <si>
    <t>S15</t>
  </si>
  <si>
    <t>Maxim Growth Summit 2026 page</t>
  </si>
  <si>
    <t>https://maximgrp.com/2026-growth-summit</t>
  </si>
  <si>
    <t>S16</t>
  </si>
  <si>
    <t>SBC Medical release (Oct conferences), GlobeNewswire 2026-09-25</t>
  </si>
  <si>
    <t>https://www.globenewswire.com/news-release/2026/09/25/3369123/0/en/sbc-medical-to-participate-in-several-upcoming-investor-conferences-in-october-2026.html</t>
  </si>
  <si>
    <t>S17</t>
  </si>
  <si>
    <t>Loeb: ThinkEquity Conference</t>
  </si>
  <si>
    <t>https://www.loeb.com/en/newsevents/events/2026/10/thinkequity-conference</t>
  </si>
  <si>
    <t>S18</t>
  </si>
  <si>
    <t>10times: ThinkEquity Conference</t>
  </si>
  <si>
    <t>https://10times.com/think-equity-conference</t>
  </si>
  <si>
    <t>S19</t>
  </si>
  <si>
    <t>LD Micro events site (search-result title)</t>
  </si>
  <si>
    <t>https://ldmicroevents.com/</t>
  </si>
  <si>
    <t>S20</t>
  </si>
  <si>
    <t>Planet MicroCap Toronto 2026 page</t>
  </si>
  <si>
    <t>https://planetmicrocap.com/register-today-planet-microcap-toronto-2026/</t>
  </si>
  <si>
    <t>S21</t>
  </si>
  <si>
    <t>EmergingGrowth.com conference pages</t>
  </si>
  <si>
    <t>https://emerginggrowth.com/allconferences/  |  https://emerginggrowth.com/conference/</t>
  </si>
  <si>
    <t>S22</t>
  </si>
  <si>
    <t>The PIPEs Conference release, Morningstar/ACCESS Newswire</t>
  </si>
  <si>
    <t>https://www.morningstar.com/news/accesswire/1178554msn/the-pipes-conference-returns-to-the-hard-rock-hotel-casino-in-hollywood-fla-nov-4-5</t>
  </si>
  <si>
    <t>S23</t>
  </si>
  <si>
    <t>The PIPEs Conference release, Yahoo Finance Canada</t>
  </si>
  <si>
    <t>https://ca.finance.yahoo.com/news/pipes-conference-returns-hard-rock-140000025.html</t>
  </si>
  <si>
    <t>S24</t>
  </si>
  <si>
    <t>B2i Digital: NYSE Growth Equity Symposium</t>
  </si>
  <si>
    <t>https://b2idigital.com/nyse-growth-equity-symposium-2026</t>
  </si>
  <si>
    <t>S25</t>
  </si>
  <si>
    <t>Sidoti events pages</t>
  </si>
  <si>
    <t>https://sidoti.com/events/december-small-cap-virtual-conference  |  https://www.sidoti.com/events</t>
  </si>
  <si>
    <t>S26</t>
  </si>
  <si>
    <t>iAccess Alpha site (Winter dates from one search summary only)</t>
  </si>
  <si>
    <t>https://www.iaccessalpha.com/</t>
  </si>
  <si>
    <t>S27</t>
  </si>
  <si>
    <t>Red Cloud Fall Mining Showcase pages</t>
  </si>
  <si>
    <t>https://redcloudfs.com/fallminingshowcase2026/  |  https://thecse.com/event/red-cloud-fall-mining-showcase-2026/</t>
  </si>
  <si>
    <t>S28</t>
  </si>
  <si>
    <t>New Orleans Investment Conference: Eventbrite / BNN Bloomberg</t>
  </si>
  <si>
    <t>https://www.eventbrite.com/e/2026-new-orleans-investment-conference-tickets-1765590632109  |  https://www.bnnbloomberg.ca/investment-trends/2026/09/08/new-orleans-investment-conference-2026-a-sold-out-floor-a-marquee-roster-and-a-metals-market-on-the-rise/</t>
  </si>
  <si>
    <t>S29</t>
  </si>
  <si>
    <t>Grid Metals release (CCMEC, TAKESTOCK, New Orleans), FinancialContent 2026-09-28</t>
  </si>
  <si>
    <t>https://www.financialcontent.com/article/accwirecq-2026-9-28-grid-metals-to-participate-in-upcoming-investor-conferences</t>
  </si>
  <si>
    <t>S30</t>
  </si>
  <si>
    <t>Metals Investor Forum: Gold Advisor Network Summit</t>
  </si>
  <si>
    <t>https://metalsinvestorforum.com/gold-advisor-network-summit/</t>
  </si>
  <si>
    <t>S31</t>
  </si>
  <si>
    <t>UBS Global Healthcare Conference page</t>
  </si>
  <si>
    <t>https://www.ubs.com/global/en/investment-bank/ib-conferences/americas/global-healthcare-conference/overview.html</t>
  </si>
  <si>
    <t>S32</t>
  </si>
  <si>
    <t>Guggenheim 3rd Healthcare Innovation Conference (issuer IR pages)</t>
  </si>
  <si>
    <t>https://ir.moonlaketx.com/events/event-details/3rd-annual-guggenheim-healthcare-innovation-conference  |  https://investors.enterabio.com/events/event-details/guggenheim-securities-3rd-annual-healthcare-innovation-conference</t>
  </si>
  <si>
    <t>S33</t>
  </si>
  <si>
    <t>Precious Metals Summit Zurich 2026 page</t>
  </si>
  <si>
    <t>https://www.precioussummit.com/events/2026-precious-metals-summit-zurich/</t>
  </si>
  <si>
    <t>S34</t>
  </si>
  <si>
    <t>Stifel NYC Healthcare Conference (issuer pages)</t>
  </si>
  <si>
    <t>https://www.cellectis.com/en/event/stifel-nyc-healthcare-conference/  |  https://investors.oculis.com/events/event-details/stifel-healthcare-conference</t>
  </si>
  <si>
    <t>S35</t>
  </si>
  <si>
    <t>Jefferies London Healthcare: Jefferies page / Pharma Letter</t>
  </si>
  <si>
    <t>https://www.jefferies.com/events/global-healthcare-conference-in-london-2/  |  https://www.thepharmaletter.com/jefferies-london-healthcare-conference</t>
  </si>
  <si>
    <t>S36</t>
  </si>
  <si>
    <t>Stephens Annual Investment Conference page</t>
  </si>
  <si>
    <t>https://www.stephens.com/events/save-the-date-stephens-annual-investment-conference</t>
  </si>
  <si>
    <t>S37</t>
  </si>
  <si>
    <t>Mines and Money London</t>
  </si>
  <si>
    <t>https://minesandmoney.com/london/</t>
  </si>
  <si>
    <t>S38</t>
  </si>
  <si>
    <t>Piper Sandler Healthcare (third-party listing only)</t>
  </si>
  <si>
    <t>https://www.life-sciences-usa.com/product/piper-sandler-annual-healthcare-group-jaffray-conference-formerly-2001-32660.html</t>
  </si>
  <si>
    <t>S39</t>
  </si>
  <si>
    <t>Northland Growth Conference (issuer IR page; date suspect)</t>
  </si>
  <si>
    <t>https://ir.legacyed.com/news-events/ir-calendar/detail/20260623-northland-growth-conference-2026</t>
  </si>
  <si>
    <t>S40</t>
  </si>
  <si>
    <t>Wolfe Small &amp; Mid-Cap Conference (via Autoliv site)</t>
  </si>
  <si>
    <t>https://www.autoliv.com/node/2338</t>
  </si>
  <si>
    <t>S41</t>
  </si>
  <si>
    <t>CfPA Regulated Investment Crowdfunding Summit</t>
  </si>
  <si>
    <t>https://www.crowdfundingecosystem.com/2026-cfpa-regulated-investment-crowdfunding-summit</t>
  </si>
  <si>
    <t>S42</t>
  </si>
  <si>
    <t>ACG Chicago Midwest Capital Connection</t>
  </si>
  <si>
    <t>https://www.acg.org/chicago/events/2026-midwest-capital-connection</t>
  </si>
  <si>
    <t>S43</t>
  </si>
  <si>
    <t>ACG Aerospace &amp; Defense forum</t>
  </si>
  <si>
    <t>https://www.acg.org/events/2026-acg-aerospace-defense-middle-market-leadership-forum</t>
  </si>
  <si>
    <t>S44</t>
  </si>
  <si>
    <t>ACG NY Middle Market Week</t>
  </si>
  <si>
    <t>https://www.acg.org/nyc/events/acg-ny-2026-middle-market-week</t>
  </si>
  <si>
    <t>S45</t>
  </si>
  <si>
    <t>ACG NY events listing (DealMaker Series; individual URL not captured)</t>
  </si>
  <si>
    <t>https://www.acg.org/nyc/events</t>
  </si>
  <si>
    <t>S46</t>
  </si>
  <si>
    <t>Opal Family Office &amp; Private Wealth Forum West</t>
  </si>
  <si>
    <t>https://opalgroup.net/finance/family-office-private-wealth-management-forum-west-2026/</t>
  </si>
  <si>
    <t>S47</t>
  </si>
  <si>
    <t>CAASA Annual Conference 2026</t>
  </si>
  <si>
    <t>https://caasa.ca/archives/events/caasa-annual-conference-2026</t>
  </si>
  <si>
    <t>S48</t>
  </si>
  <si>
    <t>Prestel &amp; Partner Family Office Forum Zurich</t>
  </si>
  <si>
    <t>https://prestelandpartner.com/familyofficeforumzurich.html</t>
  </si>
  <si>
    <t>S49</t>
  </si>
  <si>
    <t>USA Family Office Conference</t>
  </si>
  <si>
    <t>https://www.usafamilyofficeconference.com/</t>
  </si>
  <si>
    <t>S50</t>
  </si>
  <si>
    <t>Campden Wealth North American Family Office Forum</t>
  </si>
  <si>
    <t>https://www.campdenwealth.com/palmbeach</t>
  </si>
  <si>
    <t>S51</t>
  </si>
  <si>
    <t>ILPA Summit</t>
  </si>
  <si>
    <t>https://ilpa.org/conference/ilpa-summit/</t>
  </si>
  <si>
    <t>S52</t>
  </si>
  <si>
    <t>PERE America Forum</t>
  </si>
  <si>
    <t>https://live.peievents.com/private-real-estate/america</t>
  </si>
  <si>
    <t>S53</t>
  </si>
  <si>
    <t>Markets Group Pennsylvania Institutional Forum</t>
  </si>
  <si>
    <t>https://www.marketsgroup.org/forums/pennsylvania-institutional-forum</t>
  </si>
  <si>
    <t>S54</t>
  </si>
  <si>
    <t>SuperReturn Africa</t>
  </si>
  <si>
    <t>https://informaconnect.com/superreturn-africa/</t>
  </si>
  <si>
    <t>S55</t>
  </si>
  <si>
    <t>Markets Group Private Credit US</t>
  </si>
  <si>
    <t>https://www.marketsgroup.org/forums/private-credit-us</t>
  </si>
  <si>
    <t>S56</t>
  </si>
  <si>
    <t>Opal CLO Summit 2026</t>
  </si>
  <si>
    <t>https://opalgroup.net/finance/clo-summit-2026/</t>
  </si>
  <si>
    <t>S57</t>
  </si>
  <si>
    <t>PEI Women in Private Credit Forum</t>
  </si>
  <si>
    <t>https://www.peievents.com/en/event/women-private-debt-forum/</t>
  </si>
  <si>
    <t>S58</t>
  </si>
  <si>
    <t>Sohn San Francisco Investment Conference</t>
  </si>
  <si>
    <t>https://www.sohnconference.org/san-francisco</t>
  </si>
  <si>
    <t>S59</t>
  </si>
  <si>
    <t>Capital Link forum calendar (PDF)</t>
  </si>
  <si>
    <t>http://forums.capitallink.com/Forum_Calendar_Next.pdf</t>
  </si>
  <si>
    <t>S60</t>
  </si>
  <si>
    <t>SuperReturn Asia / North America / Middle East (Informa pages + ILPA/10times conflict)</t>
  </si>
  <si>
    <t>https://informaconnect.com/superreturnasia/  |  https://informaconnect.com/superreturn-north-america/  |  https://ilpa.org/industry-event/superreturn-middle-east/  |  https://10times.com/superreturn-middle-east</t>
  </si>
  <si>
    <t>S61</t>
  </si>
  <si>
    <t>Benzinga Healthcare Small Cap Conference page</t>
  </si>
  <si>
    <t>https://www.benzinga.com/events/small-cap/healthcare/</t>
  </si>
  <si>
    <t>S62</t>
  </si>
  <si>
    <t>BioAge release (Stifel Cardiometabolic Forum), GlobeNewswire 2026-09-25</t>
  </si>
  <si>
    <t>https://www.globenewswire.com/news-release/2026/09/25/3369327/0/en/bioage-labs-to-present-at-upcoming-investor-conferences.html</t>
  </si>
  <si>
    <t>S63</t>
  </si>
  <si>
    <t>Craig-Hallum Alpha Select page</t>
  </si>
  <si>
    <t>https://craig-hallum.com/events/17th-annual-alpha-select-conference/</t>
  </si>
  <si>
    <t>S64</t>
  </si>
  <si>
    <t>Mining &amp; Critical Minerals Canada / EPC Mining Summit</t>
  </si>
  <si>
    <t>https://www.miningcriticalmineralscanada.com/  |  https://whysummits.com/epc-mining-summit-toronto-2026/</t>
  </si>
  <si>
    <t>S65</t>
  </si>
  <si>
    <t>MicroCap Rodeo Fall Conference headline (ACCESS Newswire; year not visible)</t>
  </si>
  <si>
    <t>https://www.accessnewswire.com/newsroom/en/banking-and-financial-services/the-microcap-rodeo-fall-conference-to-host-executive-teams-of-19-comp-931718</t>
  </si>
  <si>
    <t>S66</t>
  </si>
  <si>
    <t>Investor Summit Group</t>
  </si>
  <si>
    <t>https://investorsummitgroup.com/</t>
  </si>
  <si>
    <t>S67</t>
  </si>
  <si>
    <t>Lytham Partners Fall 2026 page (blocked; not opened)</t>
  </si>
  <si>
    <t>https://lythampartners.com/fall2026/</t>
  </si>
  <si>
    <t>S68</t>
  </si>
  <si>
    <t>Cross-agent note: ROTH/B2i calendar date matches (B2i conference list)</t>
  </si>
  <si>
    <t>https://b2idigital.com/conferences</t>
  </si>
  <si>
    <t>S69</t>
  </si>
  <si>
    <t>MeetMax investor-conference content page (lists Craig-Hallum, Lytham as MeetMax users)</t>
  </si>
  <si>
    <t>https://www.meetmax.com/content/investor-conferences/</t>
  </si>
  <si>
    <t>S70</t>
  </si>
  <si>
    <t>Capital Link forums home</t>
  </si>
  <si>
    <t>https://forums.capitallink.com/</t>
  </si>
  <si>
    <t>S71</t>
  </si>
  <si>
    <t>Benchmark conferences (past editions only)</t>
  </si>
  <si>
    <t>https://benchmarkconferences.com/  |  https://www.benchmarkcompany.com/14th-annual-discovery-one-on-one-conference/</t>
  </si>
  <si>
    <t>S72</t>
  </si>
  <si>
    <t>Evercore ISI HealthCONx (aggregator listing)</t>
  </si>
  <si>
    <t>https://www.life-sciences-france.com/product/evercore-isi-healthconx-conference-group-investment-investor-financing-2001-32757.html</t>
  </si>
  <si>
    <t>#</t>
  </si>
  <si>
    <t>Tier</t>
  </si>
  <si>
    <t>Conference</t>
  </si>
  <si>
    <t>Organizer</t>
  </si>
  <si>
    <t>Start date</t>
  </si>
  <si>
    <t>End date</t>
  </si>
  <si>
    <t>Dates as reported</t>
  </si>
  <si>
    <t>Location / format</t>
  </si>
  <si>
    <t>Focus / audience</t>
  </si>
  <si>
    <t>Src IDs</t>
  </si>
  <si>
    <t>Confidence</t>
  </si>
  <si>
    <t>Flags / discrepancies</t>
  </si>
  <si>
    <t>Status</t>
  </si>
  <si>
    <t>Days to start</t>
  </si>
  <si>
    <t>First source URL</t>
  </si>
  <si>
    <t>A. Micro/small-cap &amp; capital raising</t>
  </si>
  <si>
    <t>Annual Smallcap Discoveries Conference</t>
  </si>
  <si>
    <t>Small Cap Discoveries</t>
  </si>
  <si>
    <t>Sep 28-29, 2026</t>
  </si>
  <si>
    <t>JW Marriott Parq, Vancouver BC; in person</t>
  </si>
  <si>
    <t>Small-cap issuers; investors, 1x1s</t>
  </si>
  <si>
    <t>S3,S4</t>
  </si>
  <si>
    <t>Confirmed</t>
  </si>
  <si>
    <t>Starts today (window start).</t>
  </si>
  <si>
    <t>C. Adjacent (dealmaking, family office, PE/credit)</t>
  </si>
  <si>
    <t>SuperReturn Asia 2026</t>
  </si>
  <si>
    <t>Informa Connect</t>
  </si>
  <si>
    <t>Sep 28-Oct 1, 2026</t>
  </si>
  <si>
    <t>Marina Bay Sands, Singapore</t>
  </si>
  <si>
    <t>Private markets, PE, private credit</t>
  </si>
  <si>
    <t>Partial</t>
  </si>
  <si>
    <t>Search summary only.</t>
  </si>
  <si>
    <t>Lytham Partners Fall 2026 Investor Conference</t>
  </si>
  <si>
    <t>Lytham Partners</t>
  </si>
  <si>
    <t>Sep 29-30, 2026</t>
  </si>
  <si>
    <t>Virtual (webcast + virtual 1x1s)</t>
  </si>
  <si>
    <t>Micro/small-cap issuers; institutional investors</t>
  </si>
  <si>
    <t>S1,S2,S67</t>
  </si>
  <si>
    <t>Your example. Official page blocked, dates from issuer releases.</t>
  </si>
  <si>
    <t>B. Bank-hosted &amp; sector investor conf.</t>
  </si>
  <si>
    <t>ROTH 5th Annual Healthcare Opportunities Conference</t>
  </si>
  <si>
    <t>ROTH Capital Partners</t>
  </si>
  <si>
    <t>Sep 29, 2026</t>
  </si>
  <si>
    <t>Metropolitan Club, New York; in person, invitation-only</t>
  </si>
  <si>
    <t>Healthcare</t>
  </si>
  <si>
    <t>Welcome reception + KOL dinner Sep 28.</t>
  </si>
  <si>
    <t>Stifel Virtual Cardiometabolic Forum</t>
  </si>
  <si>
    <t>Stifel</t>
  </si>
  <si>
    <t>Sep 30, 2026</t>
  </si>
  <si>
    <t>Virtual</t>
  </si>
  <si>
    <t>Cardiometabolic biotech</t>
  </si>
  <si>
    <t>Single source (issuer release).</t>
  </si>
  <si>
    <t>AI &amp; Tech Virtual Investor Conference</t>
  </si>
  <si>
    <t>Virtual Investor Conferences (OTC Markets Group); B2i Digital marketing</t>
  </si>
  <si>
    <t>Oct 1, 2026</t>
  </si>
  <si>
    <t>AI / technology public companies</t>
  </si>
  <si>
    <t>S8,S9</t>
  </si>
  <si>
    <t>Noble Capital Markets Oct 2026 Emerging Growth Virtual Equity Conference</t>
  </si>
  <si>
    <t>Noble Capital Markets</t>
  </si>
  <si>
    <t>Oct 1-2, 2026</t>
  </si>
  <si>
    <t>Virtual; presentations, 1x1s</t>
  </si>
  <si>
    <t>Small / micro / middle-market issuers</t>
  </si>
  <si>
    <t>S10,S11,S14</t>
  </si>
  <si>
    <t>The Small Cap Showcase (NYC)</t>
  </si>
  <si>
    <t>Not verified</t>
  </si>
  <si>
    <t>New York City; venue NOT VERIFIED; in person</t>
  </si>
  <si>
    <t>~25 small caps; family offices, institutions</t>
  </si>
  <si>
    <t>Year inferred from 'Thursday, Oct 1' + registration cutoff text; Oct 1, 2026 is a Thursday (checked). Single source.</t>
  </si>
  <si>
    <t>ROTH Critical Mass in Emerging Nuclear Technology (inaugural)</t>
  </si>
  <si>
    <t>New York; venue/format NOT VERIFIED</t>
  </si>
  <si>
    <t>Nuclear technology</t>
  </si>
  <si>
    <t>NIBA 153rd Investment Conference</t>
  </si>
  <si>
    <t>National Investment Banking Association</t>
  </si>
  <si>
    <t>Oct 6-7, 2026</t>
  </si>
  <si>
    <t>Westin Fort Lauderdale Beach Resort, FL; in person</t>
  </si>
  <si>
    <t>~30 emerging-growth cos.; 350+ investment professionals (organizer claim)</t>
  </si>
  <si>
    <t>S12,S13,S14</t>
  </si>
  <si>
    <t>Your example.</t>
  </si>
  <si>
    <t>ACG Midwest Capital Connection</t>
  </si>
  <si>
    <t>ACG Chicago</t>
  </si>
  <si>
    <t>Oct 7-8, 2026</t>
  </si>
  <si>
    <t>Navy Pier, Chicago</t>
  </si>
  <si>
    <t>Middle-market dealmaking</t>
  </si>
  <si>
    <t>Maxim Growth Summit 2026</t>
  </si>
  <si>
    <t>Maxim Group</t>
  </si>
  <si>
    <t>Oct 12-14, 2026</t>
  </si>
  <si>
    <t>Hard Rock Hotel, New York; in person, invitation-only</t>
  </si>
  <si>
    <t>Growth issuers; institutional investors</t>
  </si>
  <si>
    <t>S15,S16</t>
  </si>
  <si>
    <t>DISCREPANCY: organizer page Oct 12-14; SBC Medical release lists only Oct 14 (its presentation day; likely not a conflict).</t>
  </si>
  <si>
    <t>Sohn Conference Foundation</t>
  </si>
  <si>
    <t>Oct 13, 2026</t>
  </si>
  <si>
    <t>Hyatt Regency San Francisco</t>
  </si>
  <si>
    <t>Investment ideas (hedge/long-only)</t>
  </si>
  <si>
    <t>ACG Aerospace &amp; Defense Middle Market Leadership Forum</t>
  </si>
  <si>
    <t>ACG Global</t>
  </si>
  <si>
    <t>Oct 14-15, 2026</t>
  </si>
  <si>
    <t>Marina del Rey Marriott, CA</t>
  </si>
  <si>
    <t>A&amp;D dealmakers</t>
  </si>
  <si>
    <t>Sector-specific.</t>
  </si>
  <si>
    <t>The ThinkEquity Conference 2026</t>
  </si>
  <si>
    <t>ThinkEquity</t>
  </si>
  <si>
    <t>Oct 15, 2026</t>
  </si>
  <si>
    <t>New York; in person</t>
  </si>
  <si>
    <t>Emerging growth; issuers, investors, bankers</t>
  </si>
  <si>
    <t>S17,S14,S18</t>
  </si>
  <si>
    <t>Date confirmed (KOIL release: Thursday Oct 15; weekday checked). VENUE CONFLICT: Mandarin Oriental (10times) vs Renaissance Times Square (a Marriott page).</t>
  </si>
  <si>
    <t>LD Micro 20th Annual Main Event</t>
  </si>
  <si>
    <t>LD Micro</t>
  </si>
  <si>
    <t>Oct 19-21, 2026</t>
  </si>
  <si>
    <t>Luxe Sunset Blvd Hotel, Los Angeles; in person</t>
  </si>
  <si>
    <t>Micro/small-cap issuers and investors</t>
  </si>
  <si>
    <t>Single source (search-result title). Site blocked.</t>
  </si>
  <si>
    <t>CfPA 2026 Regulated Investment Crowdfunding Summit</t>
  </si>
  <si>
    <t>CfPA (full name not verified)</t>
  </si>
  <si>
    <t>Oct 20-21, 2026</t>
  </si>
  <si>
    <t>National Union Building, 918 F St NW, Washington DC; in person</t>
  </si>
  <si>
    <t>Reg CF / Reg A / crowdfunding advocacy</t>
  </si>
  <si>
    <t>Oct 20 = advocacy visits + reception; Oct 21 = summit day.</t>
  </si>
  <si>
    <t>Family Office &amp; Private Wealth Management Forum West</t>
  </si>
  <si>
    <t>Opal Group</t>
  </si>
  <si>
    <t>Oct 21-23, 2026</t>
  </si>
  <si>
    <t>Napa Valley Marriott, CA</t>
  </si>
  <si>
    <t>Family offices</t>
  </si>
  <si>
    <t>Planet MicroCap Showcase: Toronto 2026</t>
  </si>
  <si>
    <t>Planet MicroCap Holdings LLC</t>
  </si>
  <si>
    <t>Oct 27-29, 2026</t>
  </si>
  <si>
    <t>Arcadian Loft (Arcadian Court &amp; Loft), Toronto; in person</t>
  </si>
  <si>
    <t>Microcap issuers/investors; Day 3 = 1x1s</t>
  </si>
  <si>
    <t>S20,S14</t>
  </si>
  <si>
    <t>Free for verified investors per event page summary.</t>
  </si>
  <si>
    <t>ACG NY DealMaker Series, Fall Edition</t>
  </si>
  <si>
    <t>ACG New York</t>
  </si>
  <si>
    <t>Oct 27, 2026</t>
  </si>
  <si>
    <t>New York Athletic Club, NYC (evening)</t>
  </si>
  <si>
    <t>Middle-market dealmakers</t>
  </si>
  <si>
    <t>Individual event URL not captured.</t>
  </si>
  <si>
    <t>Emerging Growth Conference 97</t>
  </si>
  <si>
    <t>EmergingGrowth.com</t>
  </si>
  <si>
    <t>Oct 28-29, 2026</t>
  </si>
  <si>
    <t>Format: virtual per two agents' summaries; not independently verified</t>
  </si>
  <si>
    <t>Small / micro-cap public issuers</t>
  </si>
  <si>
    <t>Dates from search summary only; prior editions were livestreamed.</t>
  </si>
  <si>
    <t>Red Cloud Fall Mining Showcase 2026</t>
  </si>
  <si>
    <t>Red Cloud Financial Services</t>
  </si>
  <si>
    <t>Omni King Edward Hotel, Toronto; in person</t>
  </si>
  <si>
    <t>Mining / juniors</t>
  </si>
  <si>
    <t>52nd New Orleans Investment Conference</t>
  </si>
  <si>
    <t>Organizer NOT VERIFIED</t>
  </si>
  <si>
    <t>Oct 28-31, 2026</t>
  </si>
  <si>
    <t>Hilton New Orleans Riverside; in person</t>
  </si>
  <si>
    <t>Macro / precious metals; mainly private investors</t>
  </si>
  <si>
    <t>Peripheral: not bank-hosted.</t>
  </si>
  <si>
    <t>Central Canada Mineral Exploration Convention (CCMEC)</t>
  </si>
  <si>
    <t>Nov 2-3, 2026</t>
  </si>
  <si>
    <t>Winnipeg, Manitoba; venue NOT VERIFIED</t>
  </si>
  <si>
    <t>Mineral exploration</t>
  </si>
  <si>
    <t>Peripheral; single source (issuer release).</t>
  </si>
  <si>
    <t>CAASA</t>
  </si>
  <si>
    <t>Nov 3-4, 2026</t>
  </si>
  <si>
    <t>Hotel Omni Mont-Royal, Montreal</t>
  </si>
  <si>
    <t>Pensions, family offices, alternatives</t>
  </si>
  <si>
    <t>ILPA Summit 2026</t>
  </si>
  <si>
    <t>ILPA</t>
  </si>
  <si>
    <t>Nov 3-5, 2026</t>
  </si>
  <si>
    <t>InterContinental New York Barclay</t>
  </si>
  <si>
    <t>LPs / GPs; emerging managers</t>
  </si>
  <si>
    <t>The PIPEs Conference</t>
  </si>
  <si>
    <t>DealFlow Events</t>
  </si>
  <si>
    <t>Nov 4-5, 2026</t>
  </si>
  <si>
    <t>Seminole Hard Rock Hotel &amp; Casino, Hollywood FL; in person</t>
  </si>
  <si>
    <t>PIPEs investors, issuers, bankers, lawyers</t>
  </si>
  <si>
    <t>S22,S23</t>
  </si>
  <si>
    <t>Your example. One AllEvents listing showed Nov 13-14 (appears stale; unresolved).</t>
  </si>
  <si>
    <t>TAKESTOCK Calgary Investor Forum</t>
  </si>
  <si>
    <t>Nov 4, 2026</t>
  </si>
  <si>
    <t>Calgary, Alberta; venue NOT VERIFIED</t>
  </si>
  <si>
    <t>Resource / small-cap</t>
  </si>
  <si>
    <t>PERE America Forum 2026</t>
  </si>
  <si>
    <t>PEI</t>
  </si>
  <si>
    <t>Convene, 360 Madison Ave, NYC</t>
  </si>
  <si>
    <t>Private real estate</t>
  </si>
  <si>
    <t>Real-estate specific.</t>
  </si>
  <si>
    <t>Gold Advisor Network Summit</t>
  </si>
  <si>
    <t>Metals Investor Forum</t>
  </si>
  <si>
    <t>Nov 5, 2026</t>
  </si>
  <si>
    <t>Fairmont Pacific Rim, Vancouver; in person</t>
  </si>
  <si>
    <t>Precious-metals juniors</t>
  </si>
  <si>
    <t>Pennsylvania Institutional Forum (12th)</t>
  </si>
  <si>
    <t>Markets Group</t>
  </si>
  <si>
    <t>Ritz-Carlton, Philadelphia</t>
  </si>
  <si>
    <t>Pensions / institutional LPs</t>
  </si>
  <si>
    <t>Closed-door.</t>
  </si>
  <si>
    <t>UBS Global Healthcare Conference</t>
  </si>
  <si>
    <t>UBS</t>
  </si>
  <si>
    <t>Nov 8-11, 2026</t>
  </si>
  <si>
    <t>PGA National Resort, Palm Beach Gardens FL; in person</t>
  </si>
  <si>
    <t>Nov 8 = welcome/golf; sessions follow.</t>
  </si>
  <si>
    <t>Guggenheim 3rd Annual Healthcare Innovation Conference</t>
  </si>
  <si>
    <t>Guggenheim Securities</t>
  </si>
  <si>
    <t>Nov 9-11, 2026</t>
  </si>
  <si>
    <t>Boston MA; venue NOT VERIFIED; in person</t>
  </si>
  <si>
    <t>Healthcare / biotech</t>
  </si>
  <si>
    <t>Issuer pages show Nov 9 and Nov 10 sessions.</t>
  </si>
  <si>
    <t>Precious Metals Summit Zurich 2026</t>
  </si>
  <si>
    <t>Park Hyatt Zurich; in person, invitation-only</t>
  </si>
  <si>
    <t>Precious-metals issuers</t>
  </si>
  <si>
    <t>ACG NY Middle Market Week 2026</t>
  </si>
  <si>
    <t>New York City; venues NOT VERIFIED</t>
  </si>
  <si>
    <t>Middle-market M&amp;A / PE / banking</t>
  </si>
  <si>
    <t>Stifel Healthcare Conference (NYC)</t>
  </si>
  <si>
    <t>Nov 10-12, 2026</t>
  </si>
  <si>
    <t>New York; venue NOT VERIFIED; in person, client-only</t>
  </si>
  <si>
    <t>Family Office Forum Zurich (13th)</t>
  </si>
  <si>
    <t>Prestel &amp; Partner</t>
  </si>
  <si>
    <t>Nov 10-11, 2026</t>
  </si>
  <si>
    <t>Dolder Grand Hotel, Zurich</t>
  </si>
  <si>
    <t>Single family offices / UHNWIs</t>
  </si>
  <si>
    <t>Invitation-only.</t>
  </si>
  <si>
    <t>USA Family Office Conference (GFOC)</t>
  </si>
  <si>
    <t>Full name NOT VERIFIED</t>
  </si>
  <si>
    <t>Nov 12, 2026</t>
  </si>
  <si>
    <t>Beverly Hills, CA; venue NOT VERIFIED</t>
  </si>
  <si>
    <t>Family-office peer exchange</t>
  </si>
  <si>
    <t>Jefferies Global Healthcare Conference (London)</t>
  </si>
  <si>
    <t>Jefferies</t>
  </si>
  <si>
    <t>Starts Nov 16, 2026; end Nov 19 or Nov 20</t>
  </si>
  <si>
    <t>London; venue NOT VERIFIED; invitation-only</t>
  </si>
  <si>
    <t>DISCREPANCY on end date; one summary mixed in a 2025 date. Jefferies' page not read.</t>
  </si>
  <si>
    <t>ROTH 13th Annual Solar &amp; Storage Symposium (at RE+)</t>
  </si>
  <si>
    <t>Nov 16-18, 2026</t>
  </si>
  <si>
    <t>Las Vegas; venue NOT VERIFIED</t>
  </si>
  <si>
    <t>Solar / storage</t>
  </si>
  <si>
    <t>S6,S68</t>
  </si>
  <si>
    <t>Name from InvestorWire; dates matched to the B2i list by date only. Verify.</t>
  </si>
  <si>
    <t>ROTH 15th Annual Technology Conference</t>
  </si>
  <si>
    <t>Nov 17-18, 2026</t>
  </si>
  <si>
    <t>New York; venue NOT VERIFIED</t>
  </si>
  <si>
    <t>Technology</t>
  </si>
  <si>
    <t>Same caveat as row above.</t>
  </si>
  <si>
    <t>Stephens Annual Investment Conference (Tech Summit Nov 18-19)</t>
  </si>
  <si>
    <t>Stephens Inc.</t>
  </si>
  <si>
    <t>Nov 17-19, 2026</t>
  </si>
  <si>
    <t>Grand Hyatt Nashville, TN; in person</t>
  </si>
  <si>
    <t>Generalist + technology</t>
  </si>
  <si>
    <t>SuperReturn North America (Fall)</t>
  </si>
  <si>
    <t>Private equity</t>
  </si>
  <si>
    <t>Page URL surfaced but not opened.</t>
  </si>
  <si>
    <t>Campden Wealth 21st North American Family Office Forum</t>
  </si>
  <si>
    <t>Campden Wealth</t>
  </si>
  <si>
    <t>Nov 18-19, 2026</t>
  </si>
  <si>
    <t>Palm Beach, FL; venue NOT VERIFIED</t>
  </si>
  <si>
    <t>Confirmed for date and city only.</t>
  </si>
  <si>
    <t>NYSE Growth Equity Symposium</t>
  </si>
  <si>
    <t>NYSE (listed via B2i Digital)</t>
  </si>
  <si>
    <t>Nov 30, 2026</t>
  </si>
  <si>
    <t>NYSE, 11 Wall Street, New York; in person</t>
  </si>
  <si>
    <t>Emerging-growth issuers and investors</t>
  </si>
  <si>
    <t>Single third-party page; end date not verified.</t>
  </si>
  <si>
    <t>Mines and Money @ Resourcing Tomorrow</t>
  </si>
  <si>
    <t>Mines and Money</t>
  </si>
  <si>
    <t>Dec 1-3, 2026</t>
  </si>
  <si>
    <t>Business Design Centre, London; in person</t>
  </si>
  <si>
    <t>Mining investment / energy</t>
  </si>
  <si>
    <t>Large exhibition-style event.</t>
  </si>
  <si>
    <t>Piper Sandler 38th Annual Healthcare Conference</t>
  </si>
  <si>
    <t>Piper Sandler</t>
  </si>
  <si>
    <t>New York; venue NOT VERIFIED; invitation-only</t>
  </si>
  <si>
    <t>Only an aggregator listing supports this; no issuer release seen. Agents rated it Confirmed; downgraded here.</t>
  </si>
  <si>
    <t>SuperReturn Africa 2026</t>
  </si>
  <si>
    <t>The Westin, Cape Town</t>
  </si>
  <si>
    <t>GPs / LPs; private credit, VC</t>
  </si>
  <si>
    <t>Monarch Beach Resort, Dana Point CA</t>
  </si>
  <si>
    <t>CLO / structured credit</t>
  </si>
  <si>
    <t>Adjacent.</t>
  </si>
  <si>
    <t>Wolfe Research Small &amp; Mid-Cap Conference 2026</t>
  </si>
  <si>
    <t>Wolfe Research</t>
  </si>
  <si>
    <t>Dec 2, 2026</t>
  </si>
  <si>
    <t>Virtual; 1x1s</t>
  </si>
  <si>
    <t>Listed small/mid-caps</t>
  </si>
  <si>
    <t>Single source (an issuer's site).</t>
  </si>
  <si>
    <t>Private Credit US 2026</t>
  </si>
  <si>
    <t>Delamar Greenwich Harbor, Greenwich CT</t>
  </si>
  <si>
    <t>Direct lending / private credit</t>
  </si>
  <si>
    <t>Women in Private Credit Forum</t>
  </si>
  <si>
    <t>Dec 2-3, 2026</t>
  </si>
  <si>
    <t>Convene 133 Houndsditch, London</t>
  </si>
  <si>
    <t>Private credit</t>
  </si>
  <si>
    <t>Capital Link 28th Invest in Greece Forum</t>
  </si>
  <si>
    <t>Capital Link</t>
  </si>
  <si>
    <t>Dec 7, 2026</t>
  </si>
  <si>
    <t>Metropolitan Club, New York</t>
  </si>
  <si>
    <t>Greek capital markets</t>
  </si>
  <si>
    <t>iAccess Alpha Virtual Best Ideas Winter Investment Conference</t>
  </si>
  <si>
    <t>iAccess Alpha</t>
  </si>
  <si>
    <t>Dec 8-9, 2026</t>
  </si>
  <si>
    <t>Small / micro-cap issuers and investors</t>
  </si>
  <si>
    <t>Dates from one search summary; no Winter-specific page seen; format assumed from the Fall event.</t>
  </si>
  <si>
    <t>Sidoti December Small-Cap Virtual Conference</t>
  </si>
  <si>
    <t>Sidoti Events, LLC</t>
  </si>
  <si>
    <t>Starts Dec 9, 2026 (end NOT VERIFIED)</t>
  </si>
  <si>
    <t>Virtual (from event naming)</t>
  </si>
  <si>
    <t>Small-cap issuers; institutions</t>
  </si>
  <si>
    <t>Summaries disagree: 'Dec 9' vs 'Dec 9-10'. Event page exists.</t>
  </si>
  <si>
    <t>ROTH 15th Annual Deer Valley Event</t>
  </si>
  <si>
    <t>Dec 9-12, 2026</t>
  </si>
  <si>
    <t>Park City, Utah; format NOT VERIFIED</t>
  </si>
  <si>
    <t>Focus NOT VERIFIED</t>
  </si>
  <si>
    <t>Same date-match caveat as other ROTH rows.</t>
  </si>
  <si>
    <t>Noble Capital Markets Dec 2026 Emerging Growth Virtual Equity Conference</t>
  </si>
  <si>
    <t>December 2026 (dates NOT VERIFIED)</t>
  </si>
  <si>
    <t>Emerging-growth / middle-market issuers</t>
  </si>
  <si>
    <t>Page exists with presenter registration open; no dates in retrieved text.</t>
  </si>
  <si>
    <t>SuperReturn Middle East 2026</t>
  </si>
  <si>
    <t>Oct 13-15 OR Oct 20-22, 2026</t>
  </si>
  <si>
    <t>Ritz-Carlton DIFC, Dubai</t>
  </si>
  <si>
    <t>Private capital</t>
  </si>
  <si>
    <t>SOURCES CONFLICT (ILPA vs 10times); unresolved.</t>
  </si>
  <si>
    <t>Capital Link forums (maritime and other)</t>
  </si>
  <si>
    <t>Oct 20; Nov 4; Nov 10; Nov 17, 2026</t>
  </si>
  <si>
    <t>Per calendar: Oct 20 listed as 'Japan' forum in Shanghai; Nov 4 Hamburg; Nov 10 Dubai; Nov 17 Hong Kong</t>
  </si>
  <si>
    <t>Shipping finance / capital markets</t>
  </si>
  <si>
    <t>S59,S70</t>
  </si>
  <si>
    <t>Oct 20 entry looks inconsistent (Japan vs Shanghai); unresolved. Adjacent only.</t>
  </si>
  <si>
    <t>Mining &amp; Critical Minerals Canada Conference &amp; Exhibition</t>
  </si>
  <si>
    <t>Nov 16-17 OR Nov 9-10, 2026</t>
  </si>
  <si>
    <t>Toronto; venue NOT VERIFIED</t>
  </si>
  <si>
    <t>Mining industry (not an investor conference)</t>
  </si>
  <si>
    <t>SOURCES CONFLICT (event site vs a Facebook post). Peripheral.</t>
  </si>
  <si>
    <t>Summary (all figures are formulas over the Conferences sheet)</t>
  </si>
  <si>
    <t>As-of date:</t>
  </si>
  <si>
    <t>By tier and confidence</t>
  </si>
  <si>
    <t>Total</t>
  </si>
  <si>
    <t>By status as of the as-of date</t>
  </si>
  <si>
    <t>Events</t>
  </si>
  <si>
    <t>Past</t>
  </si>
  <si>
    <t>In progress / today</t>
  </si>
  <si>
    <t>Upcoming</t>
  </si>
  <si>
    <t>Check dates</t>
  </si>
  <si>
    <t>Check: equals total above</t>
  </si>
  <si>
    <t>By start month (exact start dates only)</t>
  </si>
  <si>
    <t>Month</t>
  </si>
  <si>
    <t>Events starting</t>
  </si>
  <si>
    <t>Sep 2026</t>
  </si>
  <si>
    <t>Oct 2026</t>
  </si>
  <si>
    <t>Nov 2026</t>
  </si>
  <si>
    <t>Dec 2026</t>
  </si>
  <si>
    <t>No exact start date</t>
  </si>
  <si>
    <t>Note: 'No exact start date' = conflicted, month-only, or multi-date rows (shown as 'Check dates' in Status).</t>
  </si>
  <si>
    <t>Leads on the Leads sheet (unverified, not counted above)</t>
  </si>
  <si>
    <t>Item (UNVERIFIED, do not rely on dates)</t>
  </si>
  <si>
    <t>What was and was not found</t>
  </si>
  <si>
    <t>Northland Growth Conference (December)</t>
  </si>
  <si>
    <t>Source says 'Tuesday, December 16, 2026' but Dec 16, 2026 is a Wednesday (Dec 16, 2025 was a Tuesday). Likely a prior-year date. Do not rely.</t>
  </si>
  <si>
    <t>Benzinga Healthcare Small Cap Conference</t>
  </si>
  <si>
    <t>Page title 'Sept 29 - 30'; year not shown, format unverified.</t>
  </si>
  <si>
    <t>Craig-Hallum 17th Annual Alpha Select Conference</t>
  </si>
  <si>
    <t>Page exists; a summary hinted Nov 17, 2026 but nothing retrieved supports it. The 2025 edition was Nov 18, 2025.</t>
  </si>
  <si>
    <t>Craig-Hallum other events (Institutional Investor Conference; Biotech Catalyst, Houston, '11/3')</t>
  </si>
  <si>
    <t>No year or dates retrieved.</t>
  </si>
  <si>
    <t>MicroCap Rodeo Fall Conference</t>
  </si>
  <si>
    <t>Headline 'Oct 16th in NYC', year not visible; may be a prior year or the same as The Small Cap Showcase.</t>
  </si>
  <si>
    <t>Investor Summit Group Q4 Virtual Investor Summit</t>
  </si>
  <si>
    <t>No Q4 2026 date found (Q1-Q3 2026 dates only).</t>
  </si>
  <si>
    <t>Benchmark 15th Annual Discovery One-on-One Investor Conference</t>
  </si>
  <si>
    <t>No 2026 date; past editions were early December in NYC (not used to infer 2026).</t>
  </si>
  <si>
    <t>Evercore ISI 9th HealthCONx</t>
  </si>
  <si>
    <t>Aggregator says date/place 'yet to be confirmed'.</t>
  </si>
  <si>
    <t>SuperReturn Private Credit North America; SuperReturn Europe (Amsterdam)</t>
  </si>
  <si>
    <t>Hinted Nov 3-6 / Nov 3 in summaries only; no source URL attributed.</t>
  </si>
  <si>
    <t>Opal ABS &amp; Fintech Specialty Finance Forum</t>
  </si>
  <si>
    <t>'December 2026' from URL title only.</t>
  </si>
  <si>
    <t>EMC2 Conference 2026 (Cornell Tech, NYC, Nov 6)</t>
  </si>
  <si>
    <t>Search summary only; no URL, organizer or focus.</t>
  </si>
  <si>
    <t>-</t>
  </si>
  <si>
    <t>Planet MicroCap Las Vegas 2026; Centri Capital Conference; Three 121 Mining events</t>
  </si>
  <si>
    <t>Titles seen, no dates.</t>
  </si>
  <si>
    <t>B2i/ROTH calendar dates with no matched event: Oct 29</t>
  </si>
  <si>
    <t>Unidentified.</t>
  </si>
  <si>
    <t>ROTH 16th Annual London Conference</t>
  </si>
  <si>
    <t>No date retrieved.</t>
  </si>
  <si>
    <t>MeetMax event_145007 (your first example)</t>
  </si>
  <si>
    <t>NOT IDENTIFIED. meetmax.com is blocked and searches for the ID returned nothing. IDs found for reference: Lytham Fall 2024 = 111653; Craig-Hallum May 2024 = 103561. The ID likely dates from 2026 (inference only, not a retrieved fact).</t>
  </si>
  <si>
    <t>Type</t>
  </si>
  <si>
    <t>Issue</t>
  </si>
  <si>
    <t>Detail</t>
  </si>
  <si>
    <t>Audit</t>
  </si>
  <si>
    <t>Data is older than the as-of date.</t>
  </si>
  <si>
    <t>Built from research retrieved 2026-09-28; the as-of date is later. Events on or before the as-of date show 'Past' by calculation only. Upcoming events and any events announced since retrieval were not re-checked when this workbook was built.</t>
  </si>
  <si>
    <t>Formulas not run through a spreadsheet engine here.</t>
  </si>
  <si>
    <t>LibreOffice would not open any file in this build environment, so the skill's recalculation step could not run. Cached values stored in the file were computed separately in Python and cross-checked; Excel recalculates when you open the file. If a Status or Summary cell looks wrong after opening, tell me.</t>
  </si>
  <si>
    <t>No page was opened.</t>
  </si>
  <si>
    <t>Every date in this document comes from search-result text (page titles, AI-written summaries of pages) or press-release text. All four of your example sites were blocked by the network proxy. Search summaries can be wrong, so 'Confirmed' means only 'dates and location are stated in at least one retrieved source', not 'verified on the organizer's site'. Before you ship, open each organizer page for the events you will act on.</t>
  </si>
  <si>
    <t>Search coverage is incomplete.</t>
  </si>
  <si>
    <t>See coverage gaps. The absence of an event here means 'not found', never 'does not exist'. In particular, the large bank-hosted institutional conferences are under-covered.</t>
  </si>
  <si>
    <t>Northland date rejected.</t>
  </si>
  <si>
    <t>Weekday cross-check failed: Dec 16, 2026 is a Wednesday, but the source said Tuesday. Moved to unverified leads.</t>
  </si>
  <si>
    <t>Two agents' confidence downgraded.</t>
  </si>
  <si>
    <t>Piper Sandler (aggregator only) and Wolfe (single issuer site) were reported as Confirmed; shown here as Partial.</t>
  </si>
  <si>
    <t>Conflicts unresolved.</t>
  </si>
  <si>
    <t>Maxim end date/scope; ThinkEquity venue; Jefferies London end date; SuperReturn Middle East dates; Mining &amp; Critical Minerals Canada dates; Capital Link Oct 20 forum; Sidoti December end date; PIPEs stale AllEvents listing (Nov 13-14).</t>
  </si>
  <si>
    <t>Year inferences.</t>
  </si>
  <si>
    <t>Small Cap Showcase's year is inferred from weekday and registration text (Oct 1, 2026 is a Thursday). Several other single-source rows rely on one snippet.</t>
  </si>
  <si>
    <t>ROTH Nov/Dec rows.</t>
  </si>
  <si>
    <t>Event names come from InvestorWire's title; dates were matched to the B2i calendar by date only. Treat as leads until the ROTH page is read.</t>
  </si>
  <si>
    <t>Organizer claims are not independently checked.</t>
  </si>
  <si>
    <t>Attendance and company counts (e.g. NIBA '350+ investment professionals') are the organizers' own statements, relayed by search summaries.</t>
  </si>
  <si>
    <t>Scope assumption.</t>
  </si>
  <si>
    <t>You gave four examples, not a definition. I read them as micro/small-cap investor, PIPE and capital-markets conferences, and added bank-hosted sector conferences and adjacent dealmaking/private-markets events as separate tiers. If you meant a different category, the scoping should change.</t>
  </si>
  <si>
    <t>Calculated figures.</t>
  </si>
  <si>
    <t>Counts below are simple tallies of rows in this document. Weekday checks were computed with Python's calendar (datetime).</t>
  </si>
  <si>
    <t>Coverage gap</t>
  </si>
  <si>
    <t>Not searched (WebSearch budget of 200 calls ran out in each research thread): KeyBanc, TD Cowen, William Blair, Susquehanna, Loop, Barclays, Wells Fargo, Deutsche Bank, BMO, RBC, Goldman Sachs, Raymond James, Canaccord fall events, BTIG, Chardan, Truist, Cantor fall events, H.C. Wainwright, Oppenheimer fall, Needham fall, Morgan Stanley and Citi/UBS December events, Capital Link investor events beyond the forums shown, Wall Street Reporter, Crescendo, KCSA, MZ Group, Alliance Advisors, TWST, Investor Brand Network, RedChip, Sequire, Proactive, MicroCapClub events.</t>
  </si>
  <si>
    <t>Sectors with no dedicated search: crypto/digital assets, cannabis/psychedelics, oil and gas/energy (e.g. EnerCom), consumer/retail, fintech, and Asia beyond SuperReturn Asia.</t>
  </si>
  <si>
    <t>Searched, nothing found in window: Lytham Partners events after Sep 29-30; any MeetMax-branded Q4 event; Context Summits; a fall SPAC/IPO conference; DealFlow's other fall events; Cambridge House fall events; Denver Gold Forum (timing reported as September).</t>
  </si>
  <si>
    <t>Excluded as off-category: J.P. Morgan corporate investor conferences (Nov 17-20, London/Paris/New York; sell-side sector events) and EPC Mining Summit Toronto (Nov 3-4).</t>
  </si>
  <si>
    <t>Excluded as outside the window (examples): Sidoti Sep 23-24; Emerging Growth Conference 96 (Sep 23-24); iAccess Alpha Fall (Sep 15-16); H.C. Wainwright (Sep 14-16); NIBA 152nd (Mar 11-12, 2026); DealFlow Discovery (Jan 26-28, 2027); NobleCon22 (Feb 23-24, 2027).</t>
  </si>
  <si>
    <t>Conference research, window 2026-09-28 to 2026-12-31</t>
  </si>
  <si>
    <t>Input</t>
  </si>
  <si>
    <t>As-of date (edit me)</t>
  </si>
  <si>
    <t>Hardcoded: today's date as given in this session (2026-10-20). Drives the Status column and Summary. Type a new date, or enter =TODAY() to make Status live.</t>
  </si>
  <si>
    <t>Source data retrieved</t>
  </si>
  <si>
    <t>Every source in SourceMap was retrieved on this date via web-search results. Nothing was re-checked when this workbook was built.</t>
  </si>
  <si>
    <t>Days since retrieval</t>
  </si>
  <si>
    <t>Calculated: as-of date minus retrieval date. Dates, venues and newly announced events may have changed since retrieval.</t>
  </si>
  <si>
    <t>READ THIS FIRST</t>
  </si>
  <si>
    <t>1. No organizer page was opened. The network proxy blocked all four of your example sites (MeetMax, Lytham Partners, NIBA, The PIPEs Conference) and most organizer sites. Dates come from web-search result text and press releases.</t>
  </si>
  <si>
    <t>2. Confidence: Confirmed = dates and location stated in at least one retrieved source. Partial = a field is missing, single-source, or sources conflict. Unverified items are only on the Leads sheet and carry no dates to rely on.</t>
  </si>
  <si>
    <t>3. Status (Conferences sheet) is a calculation from Start/End dates and the as-of date. It adds no new facts. Rows whose dates are conflicted or not exact show 'Check dates'.</t>
  </si>
  <si>
    <t>4. Coverage is incomplete: the search budget ran out before many banks and sectors were searched (see Audit sheet). Absence from this list means 'not found', not 'does not exist'.</t>
  </si>
  <si>
    <t>5. MeetMax event_145007 (your first example) could not be identified. See Leads sheet.</t>
  </si>
  <si>
    <t>6. Scope assumption: your four examples were read as micro/small-cap investor, PIPE and capital-markets events. Tier B (bank-hosted/sector) and Tier C (adjacent) are broader; filter them out if they are noise.</t>
  </si>
  <si>
    <t>Colors: blue on yellow = input you can change. Green = value pulled from another sheet. Black = static data or formula.</t>
  </si>
  <si>
    <t>Sheets: Conferences (all 60 dated events) | Summary (counts, formulas) | Leads (unverified, no dates to rely on) | SourceMap (IDs and URLs) | Audit (what to fix or check before shipping; coverage gaps).</t>
  </si>
</sst>
</file>

<file path=xl/styles.xml><?xml version="1.0" encoding="utf-8"?>
<styleSheet xmlns="http://schemas.openxmlformats.org/spreadsheetml/2006/main">
  <numFmts count="2">
    <numFmt numFmtId="164" formatCode="yyyy-mm-dd"/>
    <numFmt numFmtId="165" formatCode="0;-0;0"/>
  </numFmts>
  <fonts count="8">
    <font>
      <sz val="11"/>
      <color theme="1"/>
      <name val="Calibri"/>
      <family val="2"/>
      <scheme val="minor"/>
    </font>
    <font>
      <b/>
      <sz val="16"/>
      <color theme="1"/>
      <name val="Arial"/>
      <family val="2"/>
    </font>
    <font>
      <b/>
      <sz val="10"/>
      <color theme="1"/>
      <name val="Arial"/>
      <family val="2"/>
    </font>
    <font>
      <b/>
      <sz val="10"/>
      <color rgb="FF0000FF"/>
      <name val="Arial"/>
      <family val="2"/>
    </font>
    <font>
      <sz val="10"/>
      <color theme="1"/>
      <name val="Arial"/>
      <family val="2"/>
    </font>
    <font>
      <b/>
      <sz val="10"/>
      <color rgb="FFFFFFFF"/>
      <name val="Arial"/>
      <family val="2"/>
    </font>
    <font>
      <sz val="10"/>
      <color rgb="FF008000"/>
      <name val="Arial"/>
      <family val="2"/>
    </font>
    <font>
      <i/>
      <sz val="9"/>
      <color theme="1"/>
      <name val="Arial"/>
      <family val="2"/>
    </font>
  </fonts>
  <fills count="7">
    <fill>
      <patternFill patternType="none"/>
    </fill>
    <fill>
      <patternFill patternType="gray125"/>
    </fill>
    <fill>
      <patternFill patternType="solid">
        <fgColor rgb="FFFFFF00"/>
        <bgColor indexed="64"/>
      </patternFill>
    </fill>
    <fill>
      <patternFill patternType="solid">
        <fgColor rgb="FF1F3A5F"/>
        <bgColor indexed="64"/>
      </patternFill>
    </fill>
    <fill>
      <patternFill patternType="solid">
        <fgColor rgb="FFDDF0DD"/>
        <bgColor indexed="64"/>
      </patternFill>
    </fill>
    <fill>
      <patternFill patternType="solid">
        <fgColor rgb="FFFFF1C9"/>
        <bgColor indexed="64"/>
      </patternFill>
    </fill>
    <fill>
      <patternFill patternType="solid">
        <fgColor rgb="FF8A3B1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B8BFC9"/>
      </left>
      <right style="thin">
        <color rgb="FFB8BFC9"/>
      </right>
      <top style="thin">
        <color rgb="FFB8BFC9"/>
      </top>
      <bottom style="thin">
        <color rgb="FFB8BFC9"/>
      </bottom>
      <diagonal/>
    </border>
  </borders>
  <cellStyleXfs count="1">
    <xf numFmtId="0" fontId="0" fillId="0" borderId="0"/>
  </cellStyleXfs>
  <cellXfs count="18">
    <xf numFmtId="0" fontId="0" fillId="0" borderId="0" xfId="0"/>
    <xf numFmtId="0" fontId="1" fillId="0" borderId="0" xfId="0" applyFont="1"/>
    <xf numFmtId="0" fontId="2" fillId="0" borderId="0" xfId="0" applyFont="1" applyAlignment="1">
      <alignment vertical="top"/>
    </xf>
    <xf numFmtId="164" fontId="3" fillId="2" borderId="1" xfId="0" applyNumberFormat="1" applyFont="1" applyFill="1" applyBorder="1"/>
    <xf numFmtId="0" fontId="4" fillId="0" borderId="0" xfId="0" applyFont="1" applyAlignment="1">
      <alignment vertical="top" wrapText="1"/>
    </xf>
    <xf numFmtId="164" fontId="4" fillId="0" borderId="0" xfId="0" applyNumberFormat="1" applyFont="1"/>
    <xf numFmtId="1" fontId="4" fillId="0" borderId="0" xfId="0" applyNumberFormat="1" applyFont="1"/>
    <xf numFmtId="0" fontId="5" fillId="3" borderId="2" xfId="0" applyFont="1" applyFill="1" applyBorder="1" applyAlignment="1">
      <alignment vertical="center" wrapText="1"/>
    </xf>
    <xf numFmtId="0" fontId="4" fillId="0" borderId="2" xfId="0" applyFont="1" applyBorder="1" applyAlignment="1">
      <alignment vertical="top" wrapText="1"/>
    </xf>
    <xf numFmtId="0" fontId="2" fillId="0" borderId="2" xfId="0" applyFont="1" applyBorder="1" applyAlignment="1">
      <alignment vertical="top" wrapText="1"/>
    </xf>
    <xf numFmtId="164" fontId="4" fillId="0" borderId="2" xfId="0" applyNumberFormat="1" applyFont="1" applyBorder="1" applyAlignment="1">
      <alignment vertical="top"/>
    </xf>
    <xf numFmtId="0" fontId="4" fillId="4" borderId="2" xfId="0" applyFont="1" applyFill="1" applyBorder="1" applyAlignment="1">
      <alignment vertical="top" wrapText="1"/>
    </xf>
    <xf numFmtId="165" fontId="4" fillId="0" borderId="2" xfId="0" applyNumberFormat="1" applyFont="1" applyBorder="1" applyAlignment="1">
      <alignment vertical="top"/>
    </xf>
    <xf numFmtId="0" fontId="6" fillId="0" borderId="2" xfId="0" applyFont="1" applyBorder="1" applyAlignment="1">
      <alignment vertical="top" wrapText="1"/>
    </xf>
    <xf numFmtId="0" fontId="4" fillId="5" borderId="2" xfId="0" applyFont="1" applyFill="1" applyBorder="1" applyAlignment="1">
      <alignment vertical="top" wrapText="1"/>
    </xf>
    <xf numFmtId="164" fontId="6" fillId="0" borderId="0" xfId="0" applyNumberFormat="1" applyFont="1"/>
    <xf numFmtId="0" fontId="7" fillId="0" borderId="0" xfId="0" applyFont="1"/>
    <xf numFmtId="0" fontId="5" fillId="6" borderId="2" xfId="0" applyFont="1" applyFill="1" applyBorder="1" applyAlignment="1">
      <alignment vertical="center" wrapText="1"/>
    </xf>
  </cellXfs>
  <cellStyles count="1">
    <cellStyle name="Normal" xfId="0" builtinId="0"/>
  </cellStyles>
  <dxfs count="4">
    <dxf>
      <fill>
        <patternFill>
          <bgColor rgb="FFE3E3E3"/>
        </patternFill>
      </fill>
    </dxf>
    <dxf>
      <fill>
        <patternFill>
          <bgColor rgb="FFDCE9F7"/>
        </patternFill>
      </fill>
    </dxf>
    <dxf>
      <fill>
        <patternFill>
          <bgColor rgb="FFFCE0C8"/>
        </patternFill>
      </fill>
    </dxf>
    <dxf>
      <fill>
        <patternFill>
          <bgColor rgb="FFFFF1C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www.globenewswire.com/news-release/2026/09/28/3369705/0/en/comstock-to-participate-in-the-lytham-partners-fall-2026-investor-conference.html" TargetMode="External"/><Relationship Id="rId2" Type="http://schemas.openxmlformats.org/officeDocument/2006/relationships/hyperlink" Target="https://www.globenewswire.com/news-release/2026/09/17/3364386/0/en/liqtech-to-participate-in-the-lytham-partners-fall-2026-investor-conference.html" TargetMode="External"/><Relationship Id="rId3" Type="http://schemas.openxmlformats.org/officeDocument/2006/relationships/hyperlink" Target="https://smallcapdiscoveries.com/annual-smallcap-discoveries-conference-2026/" TargetMode="External"/><Relationship Id="rId4" Type="http://schemas.openxmlformats.org/officeDocument/2006/relationships/hyperlink" Target="https://www.nasdaq.com/press-release/avante-present-annual-smallcap-discoveries-conference-vancouver-2026-09-22" TargetMode="External"/><Relationship Id="rId5" Type="http://schemas.openxmlformats.org/officeDocument/2006/relationships/hyperlink" Target="https://www.globenewswire.com/news-release/2026/09/22/3366425/0/en/roth-to-host-5th-annual-healthcare-opportunities-conference-on-september-29-in-new-york-city.html" TargetMode="External"/><Relationship Id="rId6" Type="http://schemas.openxmlformats.org/officeDocument/2006/relationships/hyperlink" Target="https://www.investorwire.com/investor-news-breaks/investornewsbreaks-roth-capital-partners-hosts-and-sponsors-investor-events-through-june-2027/" TargetMode="External"/><Relationship Id="rId7" Type="http://schemas.openxmlformats.org/officeDocument/2006/relationships/hyperlink" Target="https://www.smallcapshowcase.com/" TargetMode="External"/><Relationship Id="rId8" Type="http://schemas.openxmlformats.org/officeDocument/2006/relationships/hyperlink" Target="https://www.globenewswire.com/news-release/2026/09/28/3369959/0/en/ai-tech-virtual-investor-conference-agenda-announced.html" TargetMode="External"/><Relationship Id="rId9" Type="http://schemas.openxmlformats.org/officeDocument/2006/relationships/hyperlink" Target="https://www.newmediawire.com/news/ai-tech-companies-present-live-and-take-investor-meetings-at-the-october-1-virtual-investor-conference-7090116" TargetMode="External"/><Relationship Id="rId10" Type="http://schemas.openxmlformats.org/officeDocument/2006/relationships/hyperlink" Target="https://nobleconference.com/virtual-october-2026/" TargetMode="External"/><Relationship Id="rId11" Type="http://schemas.openxmlformats.org/officeDocument/2006/relationships/hyperlink" Target="https://www.globenewswire.com/news-release/2026/09/16/3363231/0/en/cbak-energy-to-present-at-noble-capital-markets-emerging-growth-virtual-equity-conference-on-october-1-2026.html" TargetMode="External"/><Relationship Id="rId12" Type="http://schemas.openxmlformats.org/officeDocument/2006/relationships/hyperlink" Target="https://nibanet.org/conference/niba-october-6-7-2026-ft-lauderdale-fl-conference/" TargetMode="External"/><Relationship Id="rId13" Type="http://schemas.openxmlformats.org/officeDocument/2006/relationships/hyperlink" Target="https://b2idigital.com/niba-153rd-investment-conference" TargetMode="External"/><Relationship Id="rId14" Type="http://schemas.openxmlformats.org/officeDocument/2006/relationships/hyperlink" Target="https://www.globenewswire.com/news-release/2026/09/24/3368678/0/en/koil-energy-to-present-at-three-october-investor-conferences.html" TargetMode="External"/><Relationship Id="rId15" Type="http://schemas.openxmlformats.org/officeDocument/2006/relationships/hyperlink" Target="https://maximgrp.com/2026-growth-summit" TargetMode="External"/><Relationship Id="rId16" Type="http://schemas.openxmlformats.org/officeDocument/2006/relationships/hyperlink" Target="https://www.globenewswire.com/news-release/2026/09/25/3369123/0/en/sbc-medical-to-participate-in-several-upcoming-investor-conferences-in-october-2026.html" TargetMode="External"/><Relationship Id="rId17" Type="http://schemas.openxmlformats.org/officeDocument/2006/relationships/hyperlink" Target="https://www.loeb.com/en/newsevents/events/2026/10/thinkequity-conference" TargetMode="External"/><Relationship Id="rId18" Type="http://schemas.openxmlformats.org/officeDocument/2006/relationships/hyperlink" Target="https://10times.com/think-equity-conference" TargetMode="External"/><Relationship Id="rId19" Type="http://schemas.openxmlformats.org/officeDocument/2006/relationships/hyperlink" Target="https://ldmicroevents.com/" TargetMode="External"/><Relationship Id="rId20" Type="http://schemas.openxmlformats.org/officeDocument/2006/relationships/hyperlink" Target="https://planetmicrocap.com/register-today-planet-microcap-toronto-2026/" TargetMode="External"/><Relationship Id="rId21" Type="http://schemas.openxmlformats.org/officeDocument/2006/relationships/hyperlink" Target="https://emerginggrowth.com/allconferences/%20%20|%20%20https://emerginggrowth.com/conference/" TargetMode="External"/><Relationship Id="rId22" Type="http://schemas.openxmlformats.org/officeDocument/2006/relationships/hyperlink" Target="https://www.morningstar.com/news/accesswire/1178554msn/the-pipes-conference-returns-to-the-hard-rock-hotel-casino-in-hollywood-fla-nov-4-5" TargetMode="External"/><Relationship Id="rId23" Type="http://schemas.openxmlformats.org/officeDocument/2006/relationships/hyperlink" Target="https://ca.finance.yahoo.com/news/pipes-conference-returns-hard-rock-140000025.html" TargetMode="External"/><Relationship Id="rId24" Type="http://schemas.openxmlformats.org/officeDocument/2006/relationships/hyperlink" Target="https://b2idigital.com/nyse-growth-equity-symposium-2026" TargetMode="External"/><Relationship Id="rId25" Type="http://schemas.openxmlformats.org/officeDocument/2006/relationships/hyperlink" Target="https://sidoti.com/events/december-small-cap-virtual-conference%20%20|%20%20https://www.sidoti.com/events" TargetMode="External"/><Relationship Id="rId26" Type="http://schemas.openxmlformats.org/officeDocument/2006/relationships/hyperlink" Target="https://www.iaccessalpha.com/" TargetMode="External"/><Relationship Id="rId27" Type="http://schemas.openxmlformats.org/officeDocument/2006/relationships/hyperlink" Target="https://redcloudfs.com/fallminingshowcase2026/%20%20|%20%20https://thecse.com/event/red-cloud-fall-mining-showcase-2026/" TargetMode="External"/><Relationship Id="rId28" Type="http://schemas.openxmlformats.org/officeDocument/2006/relationships/hyperlink" Target="https://www.eventbrite.com/e/2026-new-orleans-investment-conference-tickets-1765590632109%20%20|%20%20https://www.bnnbloomberg.ca/investment-trends/2026/09/08/new-orleans-investment-conference-2026-a-sold-out-floor-a-marquee-roster-and-a-metals-market-on-the-rise/" TargetMode="External"/><Relationship Id="rId29" Type="http://schemas.openxmlformats.org/officeDocument/2006/relationships/hyperlink" Target="https://www.financialcontent.com/article/accwirecq-2026-9-28-grid-metals-to-participate-in-upcoming-investor-conferences" TargetMode="External"/><Relationship Id="rId30" Type="http://schemas.openxmlformats.org/officeDocument/2006/relationships/hyperlink" Target="https://metalsinvestorforum.com/gold-advisor-network-summit/" TargetMode="External"/><Relationship Id="rId31" Type="http://schemas.openxmlformats.org/officeDocument/2006/relationships/hyperlink" Target="https://www.ubs.com/global/en/investment-bank/ib-conferences/americas/global-healthcare-conference/overview.html" TargetMode="External"/><Relationship Id="rId32" Type="http://schemas.openxmlformats.org/officeDocument/2006/relationships/hyperlink" Target="https://ir.moonlaketx.com/events/event-details/3rd-annual-guggenheim-healthcare-innovation-conference%20%20|%20%20https://investors.enterabio.com/events/event-details/guggenheim-securities-3rd-annual-healthcare-innovation-conference" TargetMode="External"/><Relationship Id="rId33" Type="http://schemas.openxmlformats.org/officeDocument/2006/relationships/hyperlink" Target="https://www.precioussummit.com/events/2026-precious-metals-summit-zurich/" TargetMode="External"/><Relationship Id="rId34" Type="http://schemas.openxmlformats.org/officeDocument/2006/relationships/hyperlink" Target="https://www.cellectis.com/en/event/stifel-nyc-healthcare-conference/%20%20|%20%20https://investors.oculis.com/events/event-details/stifel-healthcare-conference" TargetMode="External"/><Relationship Id="rId35" Type="http://schemas.openxmlformats.org/officeDocument/2006/relationships/hyperlink" Target="https://www.jefferies.com/events/global-healthcare-conference-in-london-2/%20%20|%20%20https://www.thepharmaletter.com/jefferies-london-healthcare-conference" TargetMode="External"/><Relationship Id="rId36" Type="http://schemas.openxmlformats.org/officeDocument/2006/relationships/hyperlink" Target="https://www.stephens.com/events/save-the-date-stephens-annual-investment-conference" TargetMode="External"/><Relationship Id="rId37" Type="http://schemas.openxmlformats.org/officeDocument/2006/relationships/hyperlink" Target="https://minesandmoney.com/london/" TargetMode="External"/><Relationship Id="rId38" Type="http://schemas.openxmlformats.org/officeDocument/2006/relationships/hyperlink" Target="https://www.life-sciences-usa.com/product/piper-sandler-annual-healthcare-group-jaffray-conference-formerly-2001-32660.html" TargetMode="External"/><Relationship Id="rId39" Type="http://schemas.openxmlformats.org/officeDocument/2006/relationships/hyperlink" Target="https://ir.legacyed.com/news-events/ir-calendar/detail/20260623-northland-growth-conference-2026" TargetMode="External"/><Relationship Id="rId40" Type="http://schemas.openxmlformats.org/officeDocument/2006/relationships/hyperlink" Target="https://www.autoliv.com/node/2338" TargetMode="External"/><Relationship Id="rId41" Type="http://schemas.openxmlformats.org/officeDocument/2006/relationships/hyperlink" Target="https://www.crowdfundingecosystem.com/2026-cfpa-regulated-investment-crowdfunding-summit" TargetMode="External"/><Relationship Id="rId42" Type="http://schemas.openxmlformats.org/officeDocument/2006/relationships/hyperlink" Target="https://www.acg.org/chicago/events/2026-midwest-capital-connection" TargetMode="External"/><Relationship Id="rId43" Type="http://schemas.openxmlformats.org/officeDocument/2006/relationships/hyperlink" Target="https://www.acg.org/events/2026-acg-aerospace-defense-middle-market-leadership-forum" TargetMode="External"/><Relationship Id="rId44" Type="http://schemas.openxmlformats.org/officeDocument/2006/relationships/hyperlink" Target="https://www.acg.org/nyc/events/acg-ny-2026-middle-market-week" TargetMode="External"/><Relationship Id="rId45" Type="http://schemas.openxmlformats.org/officeDocument/2006/relationships/hyperlink" Target="https://www.acg.org/nyc/events" TargetMode="External"/><Relationship Id="rId46" Type="http://schemas.openxmlformats.org/officeDocument/2006/relationships/hyperlink" Target="https://opalgroup.net/finance/family-office-private-wealth-management-forum-west-2026/" TargetMode="External"/><Relationship Id="rId47" Type="http://schemas.openxmlformats.org/officeDocument/2006/relationships/hyperlink" Target="https://caasa.ca/archives/events/caasa-annual-conference-2026" TargetMode="External"/><Relationship Id="rId48" Type="http://schemas.openxmlformats.org/officeDocument/2006/relationships/hyperlink" Target="https://prestelandpartner.com/familyofficeforumzurich.html" TargetMode="External"/><Relationship Id="rId49" Type="http://schemas.openxmlformats.org/officeDocument/2006/relationships/hyperlink" Target="https://www.usafamilyofficeconference.com/" TargetMode="External"/><Relationship Id="rId50" Type="http://schemas.openxmlformats.org/officeDocument/2006/relationships/hyperlink" Target="https://www.campdenwealth.com/palmbeach" TargetMode="External"/><Relationship Id="rId51" Type="http://schemas.openxmlformats.org/officeDocument/2006/relationships/hyperlink" Target="https://ilpa.org/conference/ilpa-summit/" TargetMode="External"/><Relationship Id="rId52" Type="http://schemas.openxmlformats.org/officeDocument/2006/relationships/hyperlink" Target="https://live.peievents.com/private-real-estate/america" TargetMode="External"/><Relationship Id="rId53" Type="http://schemas.openxmlformats.org/officeDocument/2006/relationships/hyperlink" Target="https://www.marketsgroup.org/forums/pennsylvania-institutional-forum" TargetMode="External"/><Relationship Id="rId54" Type="http://schemas.openxmlformats.org/officeDocument/2006/relationships/hyperlink" Target="https://informaconnect.com/superreturn-africa/" TargetMode="External"/><Relationship Id="rId55" Type="http://schemas.openxmlformats.org/officeDocument/2006/relationships/hyperlink" Target="https://www.marketsgroup.org/forums/private-credit-us" TargetMode="External"/><Relationship Id="rId56" Type="http://schemas.openxmlformats.org/officeDocument/2006/relationships/hyperlink" Target="https://opalgroup.net/finance/clo-summit-2026/" TargetMode="External"/><Relationship Id="rId57" Type="http://schemas.openxmlformats.org/officeDocument/2006/relationships/hyperlink" Target="https://www.peievents.com/en/event/women-private-debt-forum/" TargetMode="External"/><Relationship Id="rId58" Type="http://schemas.openxmlformats.org/officeDocument/2006/relationships/hyperlink" Target="https://www.sohnconference.org/san-francisco" TargetMode="External"/><Relationship Id="rId59" Type="http://schemas.openxmlformats.org/officeDocument/2006/relationships/hyperlink" Target="http://forums.capitallink.com/Forum_Calendar_Next.pdf" TargetMode="External"/><Relationship Id="rId60" Type="http://schemas.openxmlformats.org/officeDocument/2006/relationships/hyperlink" Target="https://informaconnect.com/superreturnasia/%20%20|%20%20https://informaconnect.com/superreturn-north-america/%20%20|%20%20https://ilpa.org/industry-event/superreturn-middle-east/%20%20|%20%20https://10times.com/superreturn-middle-east" TargetMode="External"/><Relationship Id="rId61" Type="http://schemas.openxmlformats.org/officeDocument/2006/relationships/hyperlink" Target="https://www.benzinga.com/events/small-cap/healthcare/" TargetMode="External"/><Relationship Id="rId62" Type="http://schemas.openxmlformats.org/officeDocument/2006/relationships/hyperlink" Target="https://www.globenewswire.com/news-release/2026/09/25/3369327/0/en/bioage-labs-to-present-at-upcoming-investor-conferences.html" TargetMode="External"/><Relationship Id="rId63" Type="http://schemas.openxmlformats.org/officeDocument/2006/relationships/hyperlink" Target="https://craig-hallum.com/events/17th-annual-alpha-select-conference/" TargetMode="External"/><Relationship Id="rId64" Type="http://schemas.openxmlformats.org/officeDocument/2006/relationships/hyperlink" Target="https://www.miningcriticalmineralscanada.com/%20%20|%20%20https://whysummits.com/epc-mining-summit-toronto-2026/" TargetMode="External"/><Relationship Id="rId65" Type="http://schemas.openxmlformats.org/officeDocument/2006/relationships/hyperlink" Target="https://www.accessnewswire.com/newsroom/en/banking-and-financial-services/the-microcap-rodeo-fall-conference-to-host-executive-teams-of-19-comp-931718" TargetMode="External"/><Relationship Id="rId66" Type="http://schemas.openxmlformats.org/officeDocument/2006/relationships/hyperlink" Target="https://investorsummitgroup.com/" TargetMode="External"/><Relationship Id="rId67" Type="http://schemas.openxmlformats.org/officeDocument/2006/relationships/hyperlink" Target="https://lythampartners.com/fall2026/" TargetMode="External"/><Relationship Id="rId68" Type="http://schemas.openxmlformats.org/officeDocument/2006/relationships/hyperlink" Target="https://b2idigital.com/conferences" TargetMode="External"/><Relationship Id="rId69" Type="http://schemas.openxmlformats.org/officeDocument/2006/relationships/hyperlink" Target="https://www.meetmax.com/content/investor-conferences/" TargetMode="External"/><Relationship Id="rId70" Type="http://schemas.openxmlformats.org/officeDocument/2006/relationships/hyperlink" Target="https://forums.capitallink.com/" TargetMode="External"/><Relationship Id="rId71" Type="http://schemas.openxmlformats.org/officeDocument/2006/relationships/hyperlink" Target="https://benchmarkconferences.com/%20%20|%20%20https://www.benchmarkcompany.com/14th-annual-discovery-one-on-one-conference/" TargetMode="External"/><Relationship Id="rId72" Type="http://schemas.openxmlformats.org/officeDocument/2006/relationships/hyperlink" Target="https://www.life-sciences-france.com/product/evercore-isi-healthconx-conference-group-investment-investor-financing-2001-32757.html" TargetMode="External"/></Relationships>
</file>

<file path=xl/worksheets/sheet1.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width="26.7109375" customWidth="1"/>
    <col min="2" max="2" width="16.7109375" customWidth="1"/>
    <col min="3" max="3" width="110.7109375" customWidth="1"/>
  </cols>
  <sheetData>
    <row r="1" spans="1:3">
      <c r="A1" s="1" t="s">
        <v>637</v>
      </c>
    </row>
    <row r="3" spans="1:3">
      <c r="A3" s="2" t="s">
        <v>638</v>
      </c>
    </row>
    <row r="4" spans="1:3">
      <c r="A4" s="2" t="s">
        <v>639</v>
      </c>
      <c r="B4" s="3">
        <v>46315</v>
      </c>
      <c r="C4" s="4" t="s">
        <v>640</v>
      </c>
    </row>
    <row r="5" spans="1:3">
      <c r="A5" s="2" t="s">
        <v>641</v>
      </c>
      <c r="B5" s="5">
        <v>46293</v>
      </c>
      <c r="C5" s="4" t="s">
        <v>642</v>
      </c>
    </row>
    <row r="6" spans="1:3">
      <c r="A6" s="2" t="s">
        <v>643</v>
      </c>
      <c r="B6" s="6">
        <f>B4-B5</f>
        <v>22</v>
      </c>
      <c r="C6" s="4" t="s">
        <v>644</v>
      </c>
    </row>
    <row r="8" spans="1:3">
      <c r="A8" s="2" t="s">
        <v>645</v>
      </c>
    </row>
    <row r="9" spans="1:3" ht="30" customHeight="1">
      <c r="A9" s="4" t="s">
        <v>646</v>
      </c>
      <c r="B9" s="4"/>
      <c r="C9" s="4"/>
    </row>
    <row r="10" spans="1:3" ht="30" customHeight="1">
      <c r="A10" s="4" t="s">
        <v>647</v>
      </c>
      <c r="B10" s="4"/>
      <c r="C10" s="4"/>
    </row>
    <row r="11" spans="1:3" ht="30" customHeight="1">
      <c r="A11" s="4" t="s">
        <v>648</v>
      </c>
      <c r="B11" s="4"/>
      <c r="C11" s="4"/>
    </row>
    <row r="12" spans="1:3" ht="30" customHeight="1">
      <c r="A12" s="4" t="s">
        <v>649</v>
      </c>
      <c r="B12" s="4"/>
      <c r="C12" s="4"/>
    </row>
    <row r="13" spans="1:3" ht="30" customHeight="1">
      <c r="A13" s="4" t="s">
        <v>650</v>
      </c>
      <c r="B13" s="4"/>
      <c r="C13" s="4"/>
    </row>
    <row r="14" spans="1:3" ht="30" customHeight="1">
      <c r="A14" s="4" t="s">
        <v>651</v>
      </c>
      <c r="B14" s="4"/>
      <c r="C14" s="4"/>
    </row>
    <row r="15" spans="1:3" ht="30" customHeight="1">
      <c r="A15" s="4" t="s">
        <v>652</v>
      </c>
      <c r="B15" s="4"/>
      <c r="C15" s="4"/>
    </row>
    <row r="16" spans="1:3" ht="30" customHeight="1">
      <c r="A16" s="4" t="s">
        <v>653</v>
      </c>
      <c r="B16" s="4"/>
      <c r="C16" s="4"/>
    </row>
  </sheetData>
  <mergeCells count="8">
    <mergeCell ref="A9:C9"/>
    <mergeCell ref="A10:C10"/>
    <mergeCell ref="A11:C11"/>
    <mergeCell ref="A12:C12"/>
    <mergeCell ref="A13:C13"/>
    <mergeCell ref="A14:C14"/>
    <mergeCell ref="A15:C15"/>
    <mergeCell ref="A16:C1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61"/>
  <sheetViews>
    <sheetView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4.7109375" customWidth="1"/>
    <col min="2" max="2" width="22.7109375" customWidth="1"/>
    <col min="3" max="3" width="38.7109375" customWidth="1"/>
    <col min="4" max="4" width="26.7109375" customWidth="1"/>
    <col min="5" max="6" width="11.7109375" customWidth="1"/>
    <col min="7" max="7" width="24.7109375" customWidth="1"/>
    <col min="8" max="8" width="36.7109375" customWidth="1"/>
    <col min="9" max="9" width="30.7109375" customWidth="1"/>
    <col min="10" max="10" width="12.7109375" customWidth="1"/>
    <col min="11" max="11" width="11.7109375" customWidth="1"/>
    <col min="12" max="12" width="48.7109375" customWidth="1"/>
    <col min="13" max="13" width="16.7109375" customWidth="1"/>
    <col min="14" max="14" width="9.7109375" customWidth="1"/>
    <col min="15" max="15" width="60.7109375" customWidth="1"/>
  </cols>
  <sheetData>
    <row r="1" spans="1:15" ht="30" customHeight="1">
      <c r="A1" s="7" t="s">
        <v>220</v>
      </c>
      <c r="B1" s="7" t="s">
        <v>221</v>
      </c>
      <c r="C1" s="7" t="s">
        <v>222</v>
      </c>
      <c r="D1" s="7" t="s">
        <v>223</v>
      </c>
      <c r="E1" s="7" t="s">
        <v>224</v>
      </c>
      <c r="F1" s="7" t="s">
        <v>225</v>
      </c>
      <c r="G1" s="7" t="s">
        <v>226</v>
      </c>
      <c r="H1" s="7" t="s">
        <v>227</v>
      </c>
      <c r="I1" s="7" t="s">
        <v>228</v>
      </c>
      <c r="J1" s="7" t="s">
        <v>229</v>
      </c>
      <c r="K1" s="7" t="s">
        <v>230</v>
      </c>
      <c r="L1" s="7" t="s">
        <v>231</v>
      </c>
      <c r="M1" s="7" t="s">
        <v>232</v>
      </c>
      <c r="N1" s="7" t="s">
        <v>233</v>
      </c>
      <c r="O1" s="7" t="s">
        <v>234</v>
      </c>
    </row>
    <row r="2" spans="1:15">
      <c r="A2" s="8">
        <v>1</v>
      </c>
      <c r="B2" s="8" t="s">
        <v>235</v>
      </c>
      <c r="C2" s="9" t="s">
        <v>236</v>
      </c>
      <c r="D2" s="8" t="s">
        <v>237</v>
      </c>
      <c r="E2" s="10">
        <v>46293</v>
      </c>
      <c r="F2" s="10">
        <v>46294</v>
      </c>
      <c r="G2" s="8" t="s">
        <v>238</v>
      </c>
      <c r="H2" s="8" t="s">
        <v>239</v>
      </c>
      <c r="I2" s="8" t="s">
        <v>240</v>
      </c>
      <c r="J2" s="8" t="s">
        <v>241</v>
      </c>
      <c r="K2" s="11" t="s">
        <v>242</v>
      </c>
      <c r="L2" s="8" t="s">
        <v>243</v>
      </c>
      <c r="M2" s="8" t="str">
        <f>IF(E2="","Check dates",IF(ReadMe!$B$4&lt;E2,"Upcoming",IF(ReadMe!$B$4&lt;=IF(F2="",E2,F2),"In progress / today","Past")))</f>
        <v>Past</v>
      </c>
      <c r="N2" s="12">
        <f>IF(E2="","",E2-ReadMe!$B$4)</f>
        <v>-22</v>
      </c>
      <c r="O2" s="13" t="str">
        <f>IFERROR(INDEX(SourceMap!$C$2:$C$73,MATCH(LEFT(J2,FIND(",",J2&amp;",")-1),SourceMap!$A$2:$A$73,0)),"")</f>
        <v>https://smallcapdiscoveries.com/annual-smallcap-discoveries-conference-2026/</v>
      </c>
    </row>
    <row r="3" spans="1:15">
      <c r="A3" s="8">
        <v>2</v>
      </c>
      <c r="B3" s="8" t="s">
        <v>244</v>
      </c>
      <c r="C3" s="9" t="s">
        <v>245</v>
      </c>
      <c r="D3" s="8" t="s">
        <v>246</v>
      </c>
      <c r="E3" s="10">
        <v>46293</v>
      </c>
      <c r="F3" s="10">
        <v>46296</v>
      </c>
      <c r="G3" s="8" t="s">
        <v>247</v>
      </c>
      <c r="H3" s="8" t="s">
        <v>248</v>
      </c>
      <c r="I3" s="8" t="s">
        <v>249</v>
      </c>
      <c r="J3" s="8" t="s">
        <v>181</v>
      </c>
      <c r="K3" s="14" t="s">
        <v>250</v>
      </c>
      <c r="L3" s="8" t="s">
        <v>251</v>
      </c>
      <c r="M3" s="8" t="str">
        <f>IF(E3="","Check dates",IF(ReadMe!$B$4&lt;E3,"Upcoming",IF(ReadMe!$B$4&lt;=IF(F3="",E3,F3),"In progress / today","Past")))</f>
        <v>Past</v>
      </c>
      <c r="N3" s="12">
        <f>IF(E3="","",E3-ReadMe!$B$4)</f>
        <v>-22</v>
      </c>
      <c r="O3" s="13" t="str">
        <f>IFERROR(INDEX(SourceMap!$C$2:$C$73,MATCH(LEFT(J3,FIND(",",J3&amp;",")-1),SourceMap!$A$2:$A$73,0)),"")</f>
        <v>https://informaconnect.com/superreturnasia/  |  https://informaconnect.com/superreturn-north-america/  |  https://ilpa.org/industry-event/superreturn-middle-east/  |  https://10times.com/superreturn-middle-east</v>
      </c>
    </row>
    <row r="4" spans="1:15">
      <c r="A4" s="8">
        <v>3</v>
      </c>
      <c r="B4" s="8" t="s">
        <v>235</v>
      </c>
      <c r="C4" s="9" t="s">
        <v>252</v>
      </c>
      <c r="D4" s="8" t="s">
        <v>253</v>
      </c>
      <c r="E4" s="10">
        <v>46294</v>
      </c>
      <c r="F4" s="10">
        <v>46295</v>
      </c>
      <c r="G4" s="8" t="s">
        <v>254</v>
      </c>
      <c r="H4" s="8" t="s">
        <v>255</v>
      </c>
      <c r="I4" s="8" t="s">
        <v>256</v>
      </c>
      <c r="J4" s="8" t="s">
        <v>257</v>
      </c>
      <c r="K4" s="11" t="s">
        <v>242</v>
      </c>
      <c r="L4" s="8" t="s">
        <v>258</v>
      </c>
      <c r="M4" s="8" t="str">
        <f>IF(E4="","Check dates",IF(ReadMe!$B$4&lt;E4,"Upcoming",IF(ReadMe!$B$4&lt;=IF(F4="",E4,F4),"In progress / today","Past")))</f>
        <v>Past</v>
      </c>
      <c r="N4" s="12">
        <f>IF(E4="","",E4-ReadMe!$B$4)</f>
        <v>-21</v>
      </c>
      <c r="O4" s="13" t="str">
        <f>IFERROR(INDEX(SourceMap!$C$2:$C$73,MATCH(LEFT(J4,FIND(",",J4&amp;",")-1),SourceMap!$A$2:$A$73,0)),"")</f>
        <v>https://www.globenewswire.com/news-release/2026/09/28/3369705/0/en/comstock-to-participate-in-the-lytham-partners-fall-2026-investor-conference.html</v>
      </c>
    </row>
    <row r="5" spans="1:15">
      <c r="A5" s="8">
        <v>4</v>
      </c>
      <c r="B5" s="8" t="s">
        <v>259</v>
      </c>
      <c r="C5" s="9" t="s">
        <v>260</v>
      </c>
      <c r="D5" s="8" t="s">
        <v>261</v>
      </c>
      <c r="E5" s="10">
        <v>46294</v>
      </c>
      <c r="F5" s="10">
        <v>46294</v>
      </c>
      <c r="G5" s="8" t="s">
        <v>262</v>
      </c>
      <c r="H5" s="8" t="s">
        <v>263</v>
      </c>
      <c r="I5" s="8" t="s">
        <v>264</v>
      </c>
      <c r="J5" s="8" t="s">
        <v>16</v>
      </c>
      <c r="K5" s="11" t="s">
        <v>242</v>
      </c>
      <c r="L5" s="8" t="s">
        <v>265</v>
      </c>
      <c r="M5" s="8" t="str">
        <f>IF(E5="","Check dates",IF(ReadMe!$B$4&lt;E5,"Upcoming",IF(ReadMe!$B$4&lt;=IF(F5="",E5,F5),"In progress / today","Past")))</f>
        <v>Past</v>
      </c>
      <c r="N5" s="12">
        <f>IF(E5="","",E5-ReadMe!$B$4)</f>
        <v>-21</v>
      </c>
      <c r="O5" s="13" t="str">
        <f>IFERROR(INDEX(SourceMap!$C$2:$C$73,MATCH(LEFT(J5,FIND(",",J5&amp;",")-1),SourceMap!$A$2:$A$73,0)),"")</f>
        <v>https://www.globenewswire.com/news-release/2026/09/22/3366425/0/en/roth-to-host-5th-annual-healthcare-opportunities-conference-on-september-29-in-new-york-city.html</v>
      </c>
    </row>
    <row r="6" spans="1:15">
      <c r="A6" s="8">
        <v>5</v>
      </c>
      <c r="B6" s="8" t="s">
        <v>259</v>
      </c>
      <c r="C6" s="9" t="s">
        <v>266</v>
      </c>
      <c r="D6" s="8" t="s">
        <v>267</v>
      </c>
      <c r="E6" s="10">
        <v>46295</v>
      </c>
      <c r="F6" s="10">
        <v>46295</v>
      </c>
      <c r="G6" s="8" t="s">
        <v>268</v>
      </c>
      <c r="H6" s="8" t="s">
        <v>269</v>
      </c>
      <c r="I6" s="8" t="s">
        <v>270</v>
      </c>
      <c r="J6" s="8" t="s">
        <v>187</v>
      </c>
      <c r="K6" s="14" t="s">
        <v>250</v>
      </c>
      <c r="L6" s="8" t="s">
        <v>271</v>
      </c>
      <c r="M6" s="8" t="str">
        <f>IF(E6="","Check dates",IF(ReadMe!$B$4&lt;E6,"Upcoming",IF(ReadMe!$B$4&lt;=IF(F6="",E6,F6),"In progress / today","Past")))</f>
        <v>Past</v>
      </c>
      <c r="N6" s="12">
        <f>IF(E6="","",E6-ReadMe!$B$4)</f>
        <v>-20</v>
      </c>
      <c r="O6" s="13" t="str">
        <f>IFERROR(INDEX(SourceMap!$C$2:$C$73,MATCH(LEFT(J6,FIND(",",J6&amp;",")-1),SourceMap!$A$2:$A$73,0)),"")</f>
        <v>https://www.globenewswire.com/news-release/2026/09/25/3369327/0/en/bioage-labs-to-present-at-upcoming-investor-conferences.html</v>
      </c>
    </row>
    <row r="7" spans="1:15">
      <c r="A7" s="8">
        <v>6</v>
      </c>
      <c r="B7" s="8" t="s">
        <v>235</v>
      </c>
      <c r="C7" s="9" t="s">
        <v>272</v>
      </c>
      <c r="D7" s="8" t="s">
        <v>273</v>
      </c>
      <c r="E7" s="10">
        <v>46296</v>
      </c>
      <c r="F7" s="10">
        <v>46296</v>
      </c>
      <c r="G7" s="8" t="s">
        <v>274</v>
      </c>
      <c r="H7" s="8" t="s">
        <v>269</v>
      </c>
      <c r="I7" s="8" t="s">
        <v>275</v>
      </c>
      <c r="J7" s="8" t="s">
        <v>276</v>
      </c>
      <c r="K7" s="11" t="s">
        <v>242</v>
      </c>
      <c r="L7" s="8"/>
      <c r="M7" s="8" t="str">
        <f>IF(E7="","Check dates",IF(ReadMe!$B$4&lt;E7,"Upcoming",IF(ReadMe!$B$4&lt;=IF(F7="",E7,F7),"In progress / today","Past")))</f>
        <v>Past</v>
      </c>
      <c r="N7" s="12">
        <f>IF(E7="","",E7-ReadMe!$B$4)</f>
        <v>-19</v>
      </c>
      <c r="O7" s="13" t="str">
        <f>IFERROR(INDEX(SourceMap!$C$2:$C$73,MATCH(LEFT(J7,FIND(",",J7&amp;",")-1),SourceMap!$A$2:$A$73,0)),"")</f>
        <v>https://www.globenewswire.com/news-release/2026/09/28/3369959/0/en/ai-tech-virtual-investor-conference-agenda-announced.html</v>
      </c>
    </row>
    <row r="8" spans="1:15">
      <c r="A8" s="8">
        <v>7</v>
      </c>
      <c r="B8" s="8" t="s">
        <v>235</v>
      </c>
      <c r="C8" s="9" t="s">
        <v>277</v>
      </c>
      <c r="D8" s="8" t="s">
        <v>278</v>
      </c>
      <c r="E8" s="10">
        <v>46296</v>
      </c>
      <c r="F8" s="10">
        <v>46297</v>
      </c>
      <c r="G8" s="8" t="s">
        <v>279</v>
      </c>
      <c r="H8" s="8" t="s">
        <v>280</v>
      </c>
      <c r="I8" s="8" t="s">
        <v>281</v>
      </c>
      <c r="J8" s="8" t="s">
        <v>282</v>
      </c>
      <c r="K8" s="11" t="s">
        <v>242</v>
      </c>
      <c r="L8" s="8"/>
      <c r="M8" s="8" t="str">
        <f>IF(E8="","Check dates",IF(ReadMe!$B$4&lt;E8,"Upcoming",IF(ReadMe!$B$4&lt;=IF(F8="",E8,F8),"In progress / today","Past")))</f>
        <v>Past</v>
      </c>
      <c r="N8" s="12">
        <f>IF(E8="","",E8-ReadMe!$B$4)</f>
        <v>-19</v>
      </c>
      <c r="O8" s="13" t="str">
        <f>IFERROR(INDEX(SourceMap!$C$2:$C$73,MATCH(LEFT(J8,FIND(",",J8&amp;",")-1),SourceMap!$A$2:$A$73,0)),"")</f>
        <v>https://nobleconference.com/virtual-october-2026/</v>
      </c>
    </row>
    <row r="9" spans="1:15">
      <c r="A9" s="8">
        <v>8</v>
      </c>
      <c r="B9" s="8" t="s">
        <v>235</v>
      </c>
      <c r="C9" s="9" t="s">
        <v>283</v>
      </c>
      <c r="D9" s="8" t="s">
        <v>284</v>
      </c>
      <c r="E9" s="10">
        <v>46296</v>
      </c>
      <c r="F9" s="10">
        <v>46296</v>
      </c>
      <c r="G9" s="8" t="s">
        <v>274</v>
      </c>
      <c r="H9" s="8" t="s">
        <v>285</v>
      </c>
      <c r="I9" s="8" t="s">
        <v>286</v>
      </c>
      <c r="J9" s="8" t="s">
        <v>22</v>
      </c>
      <c r="K9" s="14" t="s">
        <v>250</v>
      </c>
      <c r="L9" s="8" t="s">
        <v>287</v>
      </c>
      <c r="M9" s="8" t="str">
        <f>IF(E9="","Check dates",IF(ReadMe!$B$4&lt;E9,"Upcoming",IF(ReadMe!$B$4&lt;=IF(F9="",E9,F9),"In progress / today","Past")))</f>
        <v>Past</v>
      </c>
      <c r="N9" s="12">
        <f>IF(E9="","",E9-ReadMe!$B$4)</f>
        <v>-19</v>
      </c>
      <c r="O9" s="13" t="str">
        <f>IFERROR(INDEX(SourceMap!$C$2:$C$73,MATCH(LEFT(J9,FIND(",",J9&amp;",")-1),SourceMap!$A$2:$A$73,0)),"")</f>
        <v>https://www.smallcapshowcase.com/</v>
      </c>
    </row>
    <row r="10" spans="1:15">
      <c r="A10" s="8">
        <v>9</v>
      </c>
      <c r="B10" s="8" t="s">
        <v>259</v>
      </c>
      <c r="C10" s="9" t="s">
        <v>288</v>
      </c>
      <c r="D10" s="8" t="s">
        <v>261</v>
      </c>
      <c r="E10" s="10">
        <v>46296</v>
      </c>
      <c r="F10" s="10">
        <v>46296</v>
      </c>
      <c r="G10" s="8" t="s">
        <v>274</v>
      </c>
      <c r="H10" s="8" t="s">
        <v>289</v>
      </c>
      <c r="I10" s="8" t="s">
        <v>290</v>
      </c>
      <c r="J10" s="8" t="s">
        <v>19</v>
      </c>
      <c r="K10" s="14" t="s">
        <v>250</v>
      </c>
      <c r="L10" s="8"/>
      <c r="M10" s="8" t="str">
        <f>IF(E10="","Check dates",IF(ReadMe!$B$4&lt;E10,"Upcoming",IF(ReadMe!$B$4&lt;=IF(F10="",E10,F10),"In progress / today","Past")))</f>
        <v>Past</v>
      </c>
      <c r="N10" s="12">
        <f>IF(E10="","",E10-ReadMe!$B$4)</f>
        <v>-19</v>
      </c>
      <c r="O10" s="13" t="str">
        <f>IFERROR(INDEX(SourceMap!$C$2:$C$73,MATCH(LEFT(J10,FIND(",",J10&amp;",")-1),SourceMap!$A$2:$A$73,0)),"")</f>
        <v>https://www.investorwire.com/investor-news-breaks/investornewsbreaks-roth-capital-partners-hosts-and-sponsors-investor-events-through-june-2027/</v>
      </c>
    </row>
    <row r="11" spans="1:15">
      <c r="A11" s="8">
        <v>10</v>
      </c>
      <c r="B11" s="8" t="s">
        <v>235</v>
      </c>
      <c r="C11" s="9" t="s">
        <v>291</v>
      </c>
      <c r="D11" s="8" t="s">
        <v>292</v>
      </c>
      <c r="E11" s="10">
        <v>46301</v>
      </c>
      <c r="F11" s="10">
        <v>46302</v>
      </c>
      <c r="G11" s="8" t="s">
        <v>293</v>
      </c>
      <c r="H11" s="8" t="s">
        <v>294</v>
      </c>
      <c r="I11" s="8" t="s">
        <v>295</v>
      </c>
      <c r="J11" s="8" t="s">
        <v>296</v>
      </c>
      <c r="K11" s="11" t="s">
        <v>242</v>
      </c>
      <c r="L11" s="8" t="s">
        <v>297</v>
      </c>
      <c r="M11" s="8" t="str">
        <f>IF(E11="","Check dates",IF(ReadMe!$B$4&lt;E11,"Upcoming",IF(ReadMe!$B$4&lt;=IF(F11="",E11,F11),"In progress / today","Past")))</f>
        <v>Past</v>
      </c>
      <c r="N11" s="12">
        <f>IF(E11="","",E11-ReadMe!$B$4)</f>
        <v>-14</v>
      </c>
      <c r="O11" s="13" t="str">
        <f>IFERROR(INDEX(SourceMap!$C$2:$C$73,MATCH(LEFT(J11,FIND(",",J11&amp;",")-1),SourceMap!$A$2:$A$73,0)),"")</f>
        <v>https://nibanet.org/conference/niba-october-6-7-2026-ft-lauderdale-fl-conference/</v>
      </c>
    </row>
    <row r="12" spans="1:15">
      <c r="A12" s="8">
        <v>11</v>
      </c>
      <c r="B12" s="8" t="s">
        <v>244</v>
      </c>
      <c r="C12" s="9" t="s">
        <v>298</v>
      </c>
      <c r="D12" s="8" t="s">
        <v>299</v>
      </c>
      <c r="E12" s="10">
        <v>46302</v>
      </c>
      <c r="F12" s="10">
        <v>46303</v>
      </c>
      <c r="G12" s="8" t="s">
        <v>300</v>
      </c>
      <c r="H12" s="8" t="s">
        <v>301</v>
      </c>
      <c r="I12" s="8" t="s">
        <v>302</v>
      </c>
      <c r="J12" s="8" t="s">
        <v>127</v>
      </c>
      <c r="K12" s="11" t="s">
        <v>242</v>
      </c>
      <c r="L12" s="8"/>
      <c r="M12" s="8" t="str">
        <f>IF(E12="","Check dates",IF(ReadMe!$B$4&lt;E12,"Upcoming",IF(ReadMe!$B$4&lt;=IF(F12="",E12,F12),"In progress / today","Past")))</f>
        <v>Past</v>
      </c>
      <c r="N12" s="12">
        <f>IF(E12="","",E12-ReadMe!$B$4)</f>
        <v>-13</v>
      </c>
      <c r="O12" s="13" t="str">
        <f>IFERROR(INDEX(SourceMap!$C$2:$C$73,MATCH(LEFT(J12,FIND(",",J12&amp;",")-1),SourceMap!$A$2:$A$73,0)),"")</f>
        <v>https://www.acg.org/chicago/events/2026-midwest-capital-connection</v>
      </c>
    </row>
    <row r="13" spans="1:15">
      <c r="A13" s="8">
        <v>12</v>
      </c>
      <c r="B13" s="8" t="s">
        <v>235</v>
      </c>
      <c r="C13" s="9" t="s">
        <v>303</v>
      </c>
      <c r="D13" s="8" t="s">
        <v>304</v>
      </c>
      <c r="E13" s="10">
        <v>46307</v>
      </c>
      <c r="F13" s="10">
        <v>46309</v>
      </c>
      <c r="G13" s="8" t="s">
        <v>305</v>
      </c>
      <c r="H13" s="8" t="s">
        <v>306</v>
      </c>
      <c r="I13" s="8" t="s">
        <v>307</v>
      </c>
      <c r="J13" s="8" t="s">
        <v>308</v>
      </c>
      <c r="K13" s="11" t="s">
        <v>242</v>
      </c>
      <c r="L13" s="8" t="s">
        <v>309</v>
      </c>
      <c r="M13" s="8" t="str">
        <f>IF(E13="","Check dates",IF(ReadMe!$B$4&lt;E13,"Upcoming",IF(ReadMe!$B$4&lt;=IF(F13="",E13,F13),"In progress / today","Past")))</f>
        <v>Past</v>
      </c>
      <c r="N13" s="12">
        <f>IF(E13="","",E13-ReadMe!$B$4)</f>
        <v>-8</v>
      </c>
      <c r="O13" s="13" t="str">
        <f>IFERROR(INDEX(SourceMap!$C$2:$C$73,MATCH(LEFT(J13,FIND(",",J13&amp;",")-1),SourceMap!$A$2:$A$73,0)),"")</f>
        <v>https://maximgrp.com/2026-growth-summit</v>
      </c>
    </row>
    <row r="14" spans="1:15">
      <c r="A14" s="8">
        <v>13</v>
      </c>
      <c r="B14" s="8" t="s">
        <v>244</v>
      </c>
      <c r="C14" s="9" t="s">
        <v>176</v>
      </c>
      <c r="D14" s="8" t="s">
        <v>310</v>
      </c>
      <c r="E14" s="10">
        <v>46308</v>
      </c>
      <c r="F14" s="10">
        <v>46308</v>
      </c>
      <c r="G14" s="8" t="s">
        <v>311</v>
      </c>
      <c r="H14" s="8" t="s">
        <v>312</v>
      </c>
      <c r="I14" s="8" t="s">
        <v>313</v>
      </c>
      <c r="J14" s="8" t="s">
        <v>175</v>
      </c>
      <c r="K14" s="11" t="s">
        <v>242</v>
      </c>
      <c r="L14" s="8"/>
      <c r="M14" s="8" t="str">
        <f>IF(E14="","Check dates",IF(ReadMe!$B$4&lt;E14,"Upcoming",IF(ReadMe!$B$4&lt;=IF(F14="",E14,F14),"In progress / today","Past")))</f>
        <v>Past</v>
      </c>
      <c r="N14" s="12">
        <f>IF(E14="","",E14-ReadMe!$B$4)</f>
        <v>-7</v>
      </c>
      <c r="O14" s="13" t="str">
        <f>IFERROR(INDEX(SourceMap!$C$2:$C$73,MATCH(LEFT(J14,FIND(",",J14&amp;",")-1),SourceMap!$A$2:$A$73,0)),"")</f>
        <v>https://www.sohnconference.org/san-francisco</v>
      </c>
    </row>
    <row r="15" spans="1:15">
      <c r="A15" s="8">
        <v>14</v>
      </c>
      <c r="B15" s="8" t="s">
        <v>244</v>
      </c>
      <c r="C15" s="9" t="s">
        <v>314</v>
      </c>
      <c r="D15" s="8" t="s">
        <v>315</v>
      </c>
      <c r="E15" s="10">
        <v>46309</v>
      </c>
      <c r="F15" s="10">
        <v>46310</v>
      </c>
      <c r="G15" s="8" t="s">
        <v>316</v>
      </c>
      <c r="H15" s="8" t="s">
        <v>317</v>
      </c>
      <c r="I15" s="8" t="s">
        <v>318</v>
      </c>
      <c r="J15" s="8" t="s">
        <v>130</v>
      </c>
      <c r="K15" s="11" t="s">
        <v>242</v>
      </c>
      <c r="L15" s="8" t="s">
        <v>319</v>
      </c>
      <c r="M15" s="8" t="str">
        <f>IF(E15="","Check dates",IF(ReadMe!$B$4&lt;E15,"Upcoming",IF(ReadMe!$B$4&lt;=IF(F15="",E15,F15),"In progress / today","Past")))</f>
        <v>Past</v>
      </c>
      <c r="N15" s="12">
        <f>IF(E15="","",E15-ReadMe!$B$4)</f>
        <v>-6</v>
      </c>
      <c r="O15" s="13" t="str">
        <f>IFERROR(INDEX(SourceMap!$C$2:$C$73,MATCH(LEFT(J15,FIND(",",J15&amp;",")-1),SourceMap!$A$2:$A$73,0)),"")</f>
        <v>https://www.acg.org/events/2026-acg-aerospace-defense-middle-market-leadership-forum</v>
      </c>
    </row>
    <row r="16" spans="1:15">
      <c r="A16" s="8">
        <v>15</v>
      </c>
      <c r="B16" s="8" t="s">
        <v>235</v>
      </c>
      <c r="C16" s="9" t="s">
        <v>320</v>
      </c>
      <c r="D16" s="8" t="s">
        <v>321</v>
      </c>
      <c r="E16" s="10">
        <v>46310</v>
      </c>
      <c r="F16" s="10">
        <v>46310</v>
      </c>
      <c r="G16" s="8" t="s">
        <v>322</v>
      </c>
      <c r="H16" s="8" t="s">
        <v>323</v>
      </c>
      <c r="I16" s="8" t="s">
        <v>324</v>
      </c>
      <c r="J16" s="8" t="s">
        <v>325</v>
      </c>
      <c r="K16" s="11" t="s">
        <v>242</v>
      </c>
      <c r="L16" s="8" t="s">
        <v>326</v>
      </c>
      <c r="M16" s="8" t="str">
        <f>IF(E16="","Check dates",IF(ReadMe!$B$4&lt;E16,"Upcoming",IF(ReadMe!$B$4&lt;=IF(F16="",E16,F16),"In progress / today","Past")))</f>
        <v>Past</v>
      </c>
      <c r="N16" s="12">
        <f>IF(E16="","",E16-ReadMe!$B$4)</f>
        <v>-5</v>
      </c>
      <c r="O16" s="13" t="str">
        <f>IFERROR(INDEX(SourceMap!$C$2:$C$73,MATCH(LEFT(J16,FIND(",",J16&amp;",")-1),SourceMap!$A$2:$A$73,0)),"")</f>
        <v>https://www.loeb.com/en/newsevents/events/2026/10/thinkequity-conference</v>
      </c>
    </row>
    <row r="17" spans="1:15">
      <c r="A17" s="8">
        <v>16</v>
      </c>
      <c r="B17" s="8" t="s">
        <v>235</v>
      </c>
      <c r="C17" s="9" t="s">
        <v>327</v>
      </c>
      <c r="D17" s="8" t="s">
        <v>328</v>
      </c>
      <c r="E17" s="10">
        <v>46314</v>
      </c>
      <c r="F17" s="10">
        <v>46316</v>
      </c>
      <c r="G17" s="8" t="s">
        <v>329</v>
      </c>
      <c r="H17" s="8" t="s">
        <v>330</v>
      </c>
      <c r="I17" s="8" t="s">
        <v>331</v>
      </c>
      <c r="J17" s="8" t="s">
        <v>58</v>
      </c>
      <c r="K17" s="11" t="s">
        <v>242</v>
      </c>
      <c r="L17" s="8" t="s">
        <v>332</v>
      </c>
      <c r="M17" s="8" t="str">
        <f>IF(E17="","Check dates",IF(ReadMe!$B$4&lt;E17,"Upcoming",IF(ReadMe!$B$4&lt;=IF(F17="",E17,F17),"In progress / today","Past")))</f>
        <v>In progress / today</v>
      </c>
      <c r="N17" s="12">
        <f>IF(E17="","",E17-ReadMe!$B$4)</f>
        <v>-1</v>
      </c>
      <c r="O17" s="13" t="str">
        <f>IFERROR(INDEX(SourceMap!$C$2:$C$73,MATCH(LEFT(J17,FIND(",",J17&amp;",")-1),SourceMap!$A$2:$A$73,0)),"")</f>
        <v>https://ldmicroevents.com/</v>
      </c>
    </row>
    <row r="18" spans="1:15">
      <c r="A18" s="8">
        <v>17</v>
      </c>
      <c r="B18" s="8" t="s">
        <v>235</v>
      </c>
      <c r="C18" s="9" t="s">
        <v>333</v>
      </c>
      <c r="D18" s="8" t="s">
        <v>334</v>
      </c>
      <c r="E18" s="10">
        <v>46315</v>
      </c>
      <c r="F18" s="10">
        <v>46316</v>
      </c>
      <c r="G18" s="8" t="s">
        <v>335</v>
      </c>
      <c r="H18" s="8" t="s">
        <v>336</v>
      </c>
      <c r="I18" s="8" t="s">
        <v>337</v>
      </c>
      <c r="J18" s="8" t="s">
        <v>124</v>
      </c>
      <c r="K18" s="11" t="s">
        <v>242</v>
      </c>
      <c r="L18" s="8" t="s">
        <v>338</v>
      </c>
      <c r="M18" s="8" t="str">
        <f>IF(E18="","Check dates",IF(ReadMe!$B$4&lt;E18,"Upcoming",IF(ReadMe!$B$4&lt;=IF(F18="",E18,F18),"In progress / today","Past")))</f>
        <v>In progress / today</v>
      </c>
      <c r="N18" s="12">
        <f>IF(E18="","",E18-ReadMe!$B$4)</f>
        <v>0</v>
      </c>
      <c r="O18" s="13" t="str">
        <f>IFERROR(INDEX(SourceMap!$C$2:$C$73,MATCH(LEFT(J18,FIND(",",J18&amp;",")-1),SourceMap!$A$2:$A$73,0)),"")</f>
        <v>https://www.crowdfundingecosystem.com/2026-cfpa-regulated-investment-crowdfunding-summit</v>
      </c>
    </row>
    <row r="19" spans="1:15">
      <c r="A19" s="8">
        <v>18</v>
      </c>
      <c r="B19" s="8" t="s">
        <v>244</v>
      </c>
      <c r="C19" s="9" t="s">
        <v>339</v>
      </c>
      <c r="D19" s="8" t="s">
        <v>340</v>
      </c>
      <c r="E19" s="10">
        <v>46316</v>
      </c>
      <c r="F19" s="10">
        <v>46318</v>
      </c>
      <c r="G19" s="8" t="s">
        <v>341</v>
      </c>
      <c r="H19" s="8" t="s">
        <v>342</v>
      </c>
      <c r="I19" s="8" t="s">
        <v>343</v>
      </c>
      <c r="J19" s="8" t="s">
        <v>139</v>
      </c>
      <c r="K19" s="11" t="s">
        <v>242</v>
      </c>
      <c r="L19" s="8"/>
      <c r="M19" s="8" t="str">
        <f>IF(E19="","Check dates",IF(ReadMe!$B$4&lt;E19,"Upcoming",IF(ReadMe!$B$4&lt;=IF(F19="",E19,F19),"In progress / today","Past")))</f>
        <v>Upcoming</v>
      </c>
      <c r="N19" s="12">
        <f>IF(E19="","",E19-ReadMe!$B$4)</f>
        <v>1</v>
      </c>
      <c r="O19" s="13" t="str">
        <f>IFERROR(INDEX(SourceMap!$C$2:$C$73,MATCH(LEFT(J19,FIND(",",J19&amp;",")-1),SourceMap!$A$2:$A$73,0)),"")</f>
        <v>https://opalgroup.net/finance/family-office-private-wealth-management-forum-west-2026/</v>
      </c>
    </row>
    <row r="20" spans="1:15">
      <c r="A20" s="8">
        <v>19</v>
      </c>
      <c r="B20" s="8" t="s">
        <v>235</v>
      </c>
      <c r="C20" s="9" t="s">
        <v>344</v>
      </c>
      <c r="D20" s="8" t="s">
        <v>345</v>
      </c>
      <c r="E20" s="10">
        <v>46322</v>
      </c>
      <c r="F20" s="10">
        <v>46324</v>
      </c>
      <c r="G20" s="8" t="s">
        <v>346</v>
      </c>
      <c r="H20" s="8" t="s">
        <v>347</v>
      </c>
      <c r="I20" s="8" t="s">
        <v>348</v>
      </c>
      <c r="J20" s="8" t="s">
        <v>349</v>
      </c>
      <c r="K20" s="11" t="s">
        <v>242</v>
      </c>
      <c r="L20" s="8" t="s">
        <v>350</v>
      </c>
      <c r="M20" s="8" t="str">
        <f>IF(E20="","Check dates",IF(ReadMe!$B$4&lt;E20,"Upcoming",IF(ReadMe!$B$4&lt;=IF(F20="",E20,F20),"In progress / today","Past")))</f>
        <v>Upcoming</v>
      </c>
      <c r="N20" s="12">
        <f>IF(E20="","",E20-ReadMe!$B$4)</f>
        <v>7</v>
      </c>
      <c r="O20" s="13" t="str">
        <f>IFERROR(INDEX(SourceMap!$C$2:$C$73,MATCH(LEFT(J20,FIND(",",J20&amp;",")-1),SourceMap!$A$2:$A$73,0)),"")</f>
        <v>https://planetmicrocap.com/register-today-planet-microcap-toronto-2026/</v>
      </c>
    </row>
    <row r="21" spans="1:15">
      <c r="A21" s="8">
        <v>20</v>
      </c>
      <c r="B21" s="8" t="s">
        <v>244</v>
      </c>
      <c r="C21" s="9" t="s">
        <v>351</v>
      </c>
      <c r="D21" s="8" t="s">
        <v>352</v>
      </c>
      <c r="E21" s="10">
        <v>46322</v>
      </c>
      <c r="F21" s="10">
        <v>46322</v>
      </c>
      <c r="G21" s="8" t="s">
        <v>353</v>
      </c>
      <c r="H21" s="8" t="s">
        <v>354</v>
      </c>
      <c r="I21" s="8" t="s">
        <v>355</v>
      </c>
      <c r="J21" s="8" t="s">
        <v>136</v>
      </c>
      <c r="K21" s="14" t="s">
        <v>250</v>
      </c>
      <c r="L21" s="8" t="s">
        <v>356</v>
      </c>
      <c r="M21" s="8" t="str">
        <f>IF(E21="","Check dates",IF(ReadMe!$B$4&lt;E21,"Upcoming",IF(ReadMe!$B$4&lt;=IF(F21="",E21,F21),"In progress / today","Past")))</f>
        <v>Upcoming</v>
      </c>
      <c r="N21" s="12">
        <f>IF(E21="","",E21-ReadMe!$B$4)</f>
        <v>7</v>
      </c>
      <c r="O21" s="13" t="str">
        <f>IFERROR(INDEX(SourceMap!$C$2:$C$73,MATCH(LEFT(J21,FIND(",",J21&amp;",")-1),SourceMap!$A$2:$A$73,0)),"")</f>
        <v>https://www.acg.org/nyc/events</v>
      </c>
    </row>
    <row r="22" spans="1:15">
      <c r="A22" s="8">
        <v>21</v>
      </c>
      <c r="B22" s="8" t="s">
        <v>235</v>
      </c>
      <c r="C22" s="9" t="s">
        <v>357</v>
      </c>
      <c r="D22" s="8" t="s">
        <v>358</v>
      </c>
      <c r="E22" s="10">
        <v>46323</v>
      </c>
      <c r="F22" s="10">
        <v>46324</v>
      </c>
      <c r="G22" s="8" t="s">
        <v>359</v>
      </c>
      <c r="H22" s="8" t="s">
        <v>360</v>
      </c>
      <c r="I22" s="8" t="s">
        <v>361</v>
      </c>
      <c r="J22" s="8" t="s">
        <v>64</v>
      </c>
      <c r="K22" s="14" t="s">
        <v>250</v>
      </c>
      <c r="L22" s="8" t="s">
        <v>362</v>
      </c>
      <c r="M22" s="8" t="str">
        <f>IF(E22="","Check dates",IF(ReadMe!$B$4&lt;E22,"Upcoming",IF(ReadMe!$B$4&lt;=IF(F22="",E22,F22),"In progress / today","Past")))</f>
        <v>Upcoming</v>
      </c>
      <c r="N22" s="12">
        <f>IF(E22="","",E22-ReadMe!$B$4)</f>
        <v>8</v>
      </c>
      <c r="O22" s="13" t="str">
        <f>IFERROR(INDEX(SourceMap!$C$2:$C$73,MATCH(LEFT(J22,FIND(",",J22&amp;",")-1),SourceMap!$A$2:$A$73,0)),"")</f>
        <v>https://emerginggrowth.com/allconferences/  |  https://emerginggrowth.com/conference/</v>
      </c>
    </row>
    <row r="23" spans="1:15">
      <c r="A23" s="8">
        <v>22</v>
      </c>
      <c r="B23" s="8" t="s">
        <v>259</v>
      </c>
      <c r="C23" s="9" t="s">
        <v>363</v>
      </c>
      <c r="D23" s="8" t="s">
        <v>364</v>
      </c>
      <c r="E23" s="10">
        <v>46323</v>
      </c>
      <c r="F23" s="10">
        <v>46324</v>
      </c>
      <c r="G23" s="8" t="s">
        <v>359</v>
      </c>
      <c r="H23" s="8" t="s">
        <v>365</v>
      </c>
      <c r="I23" s="8" t="s">
        <v>366</v>
      </c>
      <c r="J23" s="8" t="s">
        <v>82</v>
      </c>
      <c r="K23" s="11" t="s">
        <v>242</v>
      </c>
      <c r="L23" s="8"/>
      <c r="M23" s="8" t="str">
        <f>IF(E23="","Check dates",IF(ReadMe!$B$4&lt;E23,"Upcoming",IF(ReadMe!$B$4&lt;=IF(F23="",E23,F23),"In progress / today","Past")))</f>
        <v>Upcoming</v>
      </c>
      <c r="N23" s="12">
        <f>IF(E23="","",E23-ReadMe!$B$4)</f>
        <v>8</v>
      </c>
      <c r="O23" s="13" t="str">
        <f>IFERROR(INDEX(SourceMap!$C$2:$C$73,MATCH(LEFT(J23,FIND(",",J23&amp;",")-1),SourceMap!$A$2:$A$73,0)),"")</f>
        <v>https://redcloudfs.com/fallminingshowcase2026/  |  https://thecse.com/event/red-cloud-fall-mining-showcase-2026/</v>
      </c>
    </row>
    <row r="24" spans="1:15">
      <c r="A24" s="8">
        <v>23</v>
      </c>
      <c r="B24" s="8" t="s">
        <v>259</v>
      </c>
      <c r="C24" s="9" t="s">
        <v>367</v>
      </c>
      <c r="D24" s="8" t="s">
        <v>368</v>
      </c>
      <c r="E24" s="10">
        <v>46323</v>
      </c>
      <c r="F24" s="10">
        <v>46326</v>
      </c>
      <c r="G24" s="8" t="s">
        <v>369</v>
      </c>
      <c r="H24" s="8" t="s">
        <v>370</v>
      </c>
      <c r="I24" s="8" t="s">
        <v>371</v>
      </c>
      <c r="J24" s="8" t="s">
        <v>85</v>
      </c>
      <c r="K24" s="11" t="s">
        <v>242</v>
      </c>
      <c r="L24" s="8" t="s">
        <v>372</v>
      </c>
      <c r="M24" s="8" t="str">
        <f>IF(E24="","Check dates",IF(ReadMe!$B$4&lt;E24,"Upcoming",IF(ReadMe!$B$4&lt;=IF(F24="",E24,F24),"In progress / today","Past")))</f>
        <v>Upcoming</v>
      </c>
      <c r="N24" s="12">
        <f>IF(E24="","",E24-ReadMe!$B$4)</f>
        <v>8</v>
      </c>
      <c r="O24" s="13" t="str">
        <f>IFERROR(INDEX(SourceMap!$C$2:$C$73,MATCH(LEFT(J24,FIND(",",J24&amp;",")-1),SourceMap!$A$2:$A$73,0)),"")</f>
        <v>https://www.eventbrite.com/e/2026-new-orleans-investment-conference-tickets-1765590632109  |  https://www.bnnbloomberg.ca/investment-trends/2026/09/08/new-orleans-investment-conference-2026-a-sold-out-floor-a-marquee-roster-and-a-metals-market-on-the-rise/</v>
      </c>
    </row>
    <row r="25" spans="1:15">
      <c r="A25" s="8">
        <v>24</v>
      </c>
      <c r="B25" s="8" t="s">
        <v>259</v>
      </c>
      <c r="C25" s="9" t="s">
        <v>373</v>
      </c>
      <c r="D25" s="8" t="s">
        <v>284</v>
      </c>
      <c r="E25" s="10">
        <v>46328</v>
      </c>
      <c r="F25" s="10">
        <v>46329</v>
      </c>
      <c r="G25" s="8" t="s">
        <v>374</v>
      </c>
      <c r="H25" s="8" t="s">
        <v>375</v>
      </c>
      <c r="I25" s="8" t="s">
        <v>376</v>
      </c>
      <c r="J25" s="8" t="s">
        <v>88</v>
      </c>
      <c r="K25" s="14" t="s">
        <v>250</v>
      </c>
      <c r="L25" s="8" t="s">
        <v>377</v>
      </c>
      <c r="M25" s="8" t="str">
        <f>IF(E25="","Check dates",IF(ReadMe!$B$4&lt;E25,"Upcoming",IF(ReadMe!$B$4&lt;=IF(F25="",E25,F25),"In progress / today","Past")))</f>
        <v>Upcoming</v>
      </c>
      <c r="N25" s="12">
        <f>IF(E25="","",E25-ReadMe!$B$4)</f>
        <v>13</v>
      </c>
      <c r="O25" s="13" t="str">
        <f>IFERROR(INDEX(SourceMap!$C$2:$C$73,MATCH(LEFT(J25,FIND(",",J25&amp;",")-1),SourceMap!$A$2:$A$73,0)),"")</f>
        <v>https://www.financialcontent.com/article/accwirecq-2026-9-28-grid-metals-to-participate-in-upcoming-investor-conferences</v>
      </c>
    </row>
    <row r="26" spans="1:15">
      <c r="A26" s="8">
        <v>25</v>
      </c>
      <c r="B26" s="8" t="s">
        <v>244</v>
      </c>
      <c r="C26" s="9" t="s">
        <v>143</v>
      </c>
      <c r="D26" s="8" t="s">
        <v>378</v>
      </c>
      <c r="E26" s="10">
        <v>46329</v>
      </c>
      <c r="F26" s="10">
        <v>46330</v>
      </c>
      <c r="G26" s="8" t="s">
        <v>379</v>
      </c>
      <c r="H26" s="8" t="s">
        <v>380</v>
      </c>
      <c r="I26" s="8" t="s">
        <v>381</v>
      </c>
      <c r="J26" s="8" t="s">
        <v>142</v>
      </c>
      <c r="K26" s="11" t="s">
        <v>242</v>
      </c>
      <c r="L26" s="8"/>
      <c r="M26" s="8" t="str">
        <f>IF(E26="","Check dates",IF(ReadMe!$B$4&lt;E26,"Upcoming",IF(ReadMe!$B$4&lt;=IF(F26="",E26,F26),"In progress / today","Past")))</f>
        <v>Upcoming</v>
      </c>
      <c r="N26" s="12">
        <f>IF(E26="","",E26-ReadMe!$B$4)</f>
        <v>14</v>
      </c>
      <c r="O26" s="13" t="str">
        <f>IFERROR(INDEX(SourceMap!$C$2:$C$73,MATCH(LEFT(J26,FIND(",",J26&amp;",")-1),SourceMap!$A$2:$A$73,0)),"")</f>
        <v>https://caasa.ca/archives/events/caasa-annual-conference-2026</v>
      </c>
    </row>
    <row r="27" spans="1:15">
      <c r="A27" s="8">
        <v>26</v>
      </c>
      <c r="B27" s="8" t="s">
        <v>244</v>
      </c>
      <c r="C27" s="9" t="s">
        <v>382</v>
      </c>
      <c r="D27" s="8" t="s">
        <v>383</v>
      </c>
      <c r="E27" s="10">
        <v>46329</v>
      </c>
      <c r="F27" s="10">
        <v>46331</v>
      </c>
      <c r="G27" s="8" t="s">
        <v>384</v>
      </c>
      <c r="H27" s="8" t="s">
        <v>385</v>
      </c>
      <c r="I27" s="8" t="s">
        <v>386</v>
      </c>
      <c r="J27" s="8" t="s">
        <v>154</v>
      </c>
      <c r="K27" s="11" t="s">
        <v>242</v>
      </c>
      <c r="L27" s="8"/>
      <c r="M27" s="8" t="str">
        <f>IF(E27="","Check dates",IF(ReadMe!$B$4&lt;E27,"Upcoming",IF(ReadMe!$B$4&lt;=IF(F27="",E27,F27),"In progress / today","Past")))</f>
        <v>Upcoming</v>
      </c>
      <c r="N27" s="12">
        <f>IF(E27="","",E27-ReadMe!$B$4)</f>
        <v>14</v>
      </c>
      <c r="O27" s="13" t="str">
        <f>IFERROR(INDEX(SourceMap!$C$2:$C$73,MATCH(LEFT(J27,FIND(",",J27&amp;",")-1),SourceMap!$A$2:$A$73,0)),"")</f>
        <v>https://ilpa.org/conference/ilpa-summit/</v>
      </c>
    </row>
    <row r="28" spans="1:15">
      <c r="A28" s="8">
        <v>27</v>
      </c>
      <c r="B28" s="8" t="s">
        <v>235</v>
      </c>
      <c r="C28" s="9" t="s">
        <v>387</v>
      </c>
      <c r="D28" s="8" t="s">
        <v>388</v>
      </c>
      <c r="E28" s="10">
        <v>46330</v>
      </c>
      <c r="F28" s="10">
        <v>46331</v>
      </c>
      <c r="G28" s="8" t="s">
        <v>389</v>
      </c>
      <c r="H28" s="8" t="s">
        <v>390</v>
      </c>
      <c r="I28" s="8" t="s">
        <v>391</v>
      </c>
      <c r="J28" s="8" t="s">
        <v>392</v>
      </c>
      <c r="K28" s="11" t="s">
        <v>242</v>
      </c>
      <c r="L28" s="8" t="s">
        <v>393</v>
      </c>
      <c r="M28" s="8" t="str">
        <f>IF(E28="","Check dates",IF(ReadMe!$B$4&lt;E28,"Upcoming",IF(ReadMe!$B$4&lt;=IF(F28="",E28,F28),"In progress / today","Past")))</f>
        <v>Upcoming</v>
      </c>
      <c r="N28" s="12">
        <f>IF(E28="","",E28-ReadMe!$B$4)</f>
        <v>15</v>
      </c>
      <c r="O28" s="13" t="str">
        <f>IFERROR(INDEX(SourceMap!$C$2:$C$73,MATCH(LEFT(J28,FIND(",",J28&amp;",")-1),SourceMap!$A$2:$A$73,0)),"")</f>
        <v>https://www.morningstar.com/news/accesswire/1178554msn/the-pipes-conference-returns-to-the-hard-rock-hotel-casino-in-hollywood-fla-nov-4-5</v>
      </c>
    </row>
    <row r="29" spans="1:15">
      <c r="A29" s="8">
        <v>28</v>
      </c>
      <c r="B29" s="8" t="s">
        <v>259</v>
      </c>
      <c r="C29" s="9" t="s">
        <v>394</v>
      </c>
      <c r="D29" s="8" t="s">
        <v>284</v>
      </c>
      <c r="E29" s="10">
        <v>46330</v>
      </c>
      <c r="F29" s="10">
        <v>46330</v>
      </c>
      <c r="G29" s="8" t="s">
        <v>395</v>
      </c>
      <c r="H29" s="8" t="s">
        <v>396</v>
      </c>
      <c r="I29" s="8" t="s">
        <v>397</v>
      </c>
      <c r="J29" s="8" t="s">
        <v>88</v>
      </c>
      <c r="K29" s="14" t="s">
        <v>250</v>
      </c>
      <c r="L29" s="8" t="s">
        <v>271</v>
      </c>
      <c r="M29" s="8" t="str">
        <f>IF(E29="","Check dates",IF(ReadMe!$B$4&lt;E29,"Upcoming",IF(ReadMe!$B$4&lt;=IF(F29="",E29,F29),"In progress / today","Past")))</f>
        <v>Upcoming</v>
      </c>
      <c r="N29" s="12">
        <f>IF(E29="","",E29-ReadMe!$B$4)</f>
        <v>15</v>
      </c>
      <c r="O29" s="13" t="str">
        <f>IFERROR(INDEX(SourceMap!$C$2:$C$73,MATCH(LEFT(J29,FIND(",",J29&amp;",")-1),SourceMap!$A$2:$A$73,0)),"")</f>
        <v>https://www.financialcontent.com/article/accwirecq-2026-9-28-grid-metals-to-participate-in-upcoming-investor-conferences</v>
      </c>
    </row>
    <row r="30" spans="1:15">
      <c r="A30" s="8">
        <v>29</v>
      </c>
      <c r="B30" s="8" t="s">
        <v>244</v>
      </c>
      <c r="C30" s="9" t="s">
        <v>398</v>
      </c>
      <c r="D30" s="8" t="s">
        <v>399</v>
      </c>
      <c r="E30" s="10">
        <v>46330</v>
      </c>
      <c r="F30" s="10">
        <v>46331</v>
      </c>
      <c r="G30" s="8" t="s">
        <v>389</v>
      </c>
      <c r="H30" s="8" t="s">
        <v>400</v>
      </c>
      <c r="I30" s="8" t="s">
        <v>401</v>
      </c>
      <c r="J30" s="8" t="s">
        <v>157</v>
      </c>
      <c r="K30" s="11" t="s">
        <v>242</v>
      </c>
      <c r="L30" s="8" t="s">
        <v>402</v>
      </c>
      <c r="M30" s="8" t="str">
        <f>IF(E30="","Check dates",IF(ReadMe!$B$4&lt;E30,"Upcoming",IF(ReadMe!$B$4&lt;=IF(F30="",E30,F30),"In progress / today","Past")))</f>
        <v>Upcoming</v>
      </c>
      <c r="N30" s="12">
        <f>IF(E30="","",E30-ReadMe!$B$4)</f>
        <v>15</v>
      </c>
      <c r="O30" s="13" t="str">
        <f>IFERROR(INDEX(SourceMap!$C$2:$C$73,MATCH(LEFT(J30,FIND(",",J30&amp;",")-1),SourceMap!$A$2:$A$73,0)),"")</f>
        <v>https://live.peievents.com/private-real-estate/america</v>
      </c>
    </row>
    <row r="31" spans="1:15">
      <c r="A31" s="8">
        <v>30</v>
      </c>
      <c r="B31" s="8" t="s">
        <v>259</v>
      </c>
      <c r="C31" s="9" t="s">
        <v>403</v>
      </c>
      <c r="D31" s="8" t="s">
        <v>404</v>
      </c>
      <c r="E31" s="10">
        <v>46331</v>
      </c>
      <c r="F31" s="10">
        <v>46331</v>
      </c>
      <c r="G31" s="8" t="s">
        <v>405</v>
      </c>
      <c r="H31" s="8" t="s">
        <v>406</v>
      </c>
      <c r="I31" s="8" t="s">
        <v>407</v>
      </c>
      <c r="J31" s="8" t="s">
        <v>91</v>
      </c>
      <c r="K31" s="11" t="s">
        <v>242</v>
      </c>
      <c r="L31" s="8"/>
      <c r="M31" s="8" t="str">
        <f>IF(E31="","Check dates",IF(ReadMe!$B$4&lt;E31,"Upcoming",IF(ReadMe!$B$4&lt;=IF(F31="",E31,F31),"In progress / today","Past")))</f>
        <v>Upcoming</v>
      </c>
      <c r="N31" s="12">
        <f>IF(E31="","",E31-ReadMe!$B$4)</f>
        <v>16</v>
      </c>
      <c r="O31" s="13" t="str">
        <f>IFERROR(INDEX(SourceMap!$C$2:$C$73,MATCH(LEFT(J31,FIND(",",J31&amp;",")-1),SourceMap!$A$2:$A$73,0)),"")</f>
        <v>https://metalsinvestorforum.com/gold-advisor-network-summit/</v>
      </c>
    </row>
    <row r="32" spans="1:15">
      <c r="A32" s="8">
        <v>31</v>
      </c>
      <c r="B32" s="8" t="s">
        <v>244</v>
      </c>
      <c r="C32" s="9" t="s">
        <v>408</v>
      </c>
      <c r="D32" s="8" t="s">
        <v>409</v>
      </c>
      <c r="E32" s="10">
        <v>46331</v>
      </c>
      <c r="F32" s="10">
        <v>46331</v>
      </c>
      <c r="G32" s="8" t="s">
        <v>405</v>
      </c>
      <c r="H32" s="8" t="s">
        <v>410</v>
      </c>
      <c r="I32" s="8" t="s">
        <v>411</v>
      </c>
      <c r="J32" s="8" t="s">
        <v>160</v>
      </c>
      <c r="K32" s="11" t="s">
        <v>242</v>
      </c>
      <c r="L32" s="8" t="s">
        <v>412</v>
      </c>
      <c r="M32" s="8" t="str">
        <f>IF(E32="","Check dates",IF(ReadMe!$B$4&lt;E32,"Upcoming",IF(ReadMe!$B$4&lt;=IF(F32="",E32,F32),"In progress / today","Past")))</f>
        <v>Upcoming</v>
      </c>
      <c r="N32" s="12">
        <f>IF(E32="","",E32-ReadMe!$B$4)</f>
        <v>16</v>
      </c>
      <c r="O32" s="13" t="str">
        <f>IFERROR(INDEX(SourceMap!$C$2:$C$73,MATCH(LEFT(J32,FIND(",",J32&amp;",")-1),SourceMap!$A$2:$A$73,0)),"")</f>
        <v>https://www.marketsgroup.org/forums/pennsylvania-institutional-forum</v>
      </c>
    </row>
    <row r="33" spans="1:15">
      <c r="A33" s="8">
        <v>32</v>
      </c>
      <c r="B33" s="8" t="s">
        <v>259</v>
      </c>
      <c r="C33" s="9" t="s">
        <v>413</v>
      </c>
      <c r="D33" s="8" t="s">
        <v>414</v>
      </c>
      <c r="E33" s="10">
        <v>46334</v>
      </c>
      <c r="F33" s="10">
        <v>46337</v>
      </c>
      <c r="G33" s="8" t="s">
        <v>415</v>
      </c>
      <c r="H33" s="8" t="s">
        <v>416</v>
      </c>
      <c r="I33" s="8" t="s">
        <v>264</v>
      </c>
      <c r="J33" s="8" t="s">
        <v>94</v>
      </c>
      <c r="K33" s="11" t="s">
        <v>242</v>
      </c>
      <c r="L33" s="8" t="s">
        <v>417</v>
      </c>
      <c r="M33" s="8" t="str">
        <f>IF(E33="","Check dates",IF(ReadMe!$B$4&lt;E33,"Upcoming",IF(ReadMe!$B$4&lt;=IF(F33="",E33,F33),"In progress / today","Past")))</f>
        <v>Upcoming</v>
      </c>
      <c r="N33" s="12">
        <f>IF(E33="","",E33-ReadMe!$B$4)</f>
        <v>19</v>
      </c>
      <c r="O33" s="13" t="str">
        <f>IFERROR(INDEX(SourceMap!$C$2:$C$73,MATCH(LEFT(J33,FIND(",",J33&amp;",")-1),SourceMap!$A$2:$A$73,0)),"")</f>
        <v>https://www.ubs.com/global/en/investment-bank/ib-conferences/americas/global-healthcare-conference/overview.html</v>
      </c>
    </row>
    <row r="34" spans="1:15">
      <c r="A34" s="8">
        <v>33</v>
      </c>
      <c r="B34" s="8" t="s">
        <v>259</v>
      </c>
      <c r="C34" s="9" t="s">
        <v>418</v>
      </c>
      <c r="D34" s="8" t="s">
        <v>419</v>
      </c>
      <c r="E34" s="10">
        <v>46335</v>
      </c>
      <c r="F34" s="10">
        <v>46337</v>
      </c>
      <c r="G34" s="8" t="s">
        <v>420</v>
      </c>
      <c r="H34" s="8" t="s">
        <v>421</v>
      </c>
      <c r="I34" s="8" t="s">
        <v>422</v>
      </c>
      <c r="J34" s="8" t="s">
        <v>97</v>
      </c>
      <c r="K34" s="11" t="s">
        <v>242</v>
      </c>
      <c r="L34" s="8" t="s">
        <v>423</v>
      </c>
      <c r="M34" s="8" t="str">
        <f>IF(E34="","Check dates",IF(ReadMe!$B$4&lt;E34,"Upcoming",IF(ReadMe!$B$4&lt;=IF(F34="",E34,F34),"In progress / today","Past")))</f>
        <v>Upcoming</v>
      </c>
      <c r="N34" s="12">
        <f>IF(E34="","",E34-ReadMe!$B$4)</f>
        <v>20</v>
      </c>
      <c r="O34" s="13" t="str">
        <f>IFERROR(INDEX(SourceMap!$C$2:$C$73,MATCH(LEFT(J34,FIND(",",J34&amp;",")-1),SourceMap!$A$2:$A$73,0)),"")</f>
        <v>https://ir.moonlaketx.com/events/event-details/3rd-annual-guggenheim-healthcare-innovation-conference  |  https://investors.enterabio.com/events/event-details/guggenheim-securities-3rd-annual-healthcare-innovation-conference</v>
      </c>
    </row>
    <row r="35" spans="1:15">
      <c r="A35" s="8">
        <v>34</v>
      </c>
      <c r="B35" s="8" t="s">
        <v>259</v>
      </c>
      <c r="C35" s="9" t="s">
        <v>424</v>
      </c>
      <c r="D35" s="8" t="s">
        <v>284</v>
      </c>
      <c r="E35" s="10">
        <v>46335</v>
      </c>
      <c r="F35" s="10">
        <v>46337</v>
      </c>
      <c r="G35" s="8" t="s">
        <v>420</v>
      </c>
      <c r="H35" s="8" t="s">
        <v>425</v>
      </c>
      <c r="I35" s="8" t="s">
        <v>426</v>
      </c>
      <c r="J35" s="8" t="s">
        <v>100</v>
      </c>
      <c r="K35" s="11" t="s">
        <v>242</v>
      </c>
      <c r="L35" s="8"/>
      <c r="M35" s="8" t="str">
        <f>IF(E35="","Check dates",IF(ReadMe!$B$4&lt;E35,"Upcoming",IF(ReadMe!$B$4&lt;=IF(F35="",E35,F35),"In progress / today","Past")))</f>
        <v>Upcoming</v>
      </c>
      <c r="N35" s="12">
        <f>IF(E35="","",E35-ReadMe!$B$4)</f>
        <v>20</v>
      </c>
      <c r="O35" s="13" t="str">
        <f>IFERROR(INDEX(SourceMap!$C$2:$C$73,MATCH(LEFT(J35,FIND(",",J35&amp;",")-1),SourceMap!$A$2:$A$73,0)),"")</f>
        <v>https://www.precioussummit.com/events/2026-precious-metals-summit-zurich/</v>
      </c>
    </row>
    <row r="36" spans="1:15">
      <c r="A36" s="8">
        <v>35</v>
      </c>
      <c r="B36" s="8" t="s">
        <v>244</v>
      </c>
      <c r="C36" s="9" t="s">
        <v>427</v>
      </c>
      <c r="D36" s="8" t="s">
        <v>352</v>
      </c>
      <c r="E36" s="10">
        <v>46335</v>
      </c>
      <c r="F36" s="10">
        <v>46337</v>
      </c>
      <c r="G36" s="8" t="s">
        <v>420</v>
      </c>
      <c r="H36" s="8" t="s">
        <v>428</v>
      </c>
      <c r="I36" s="8" t="s">
        <v>429</v>
      </c>
      <c r="J36" s="8" t="s">
        <v>133</v>
      </c>
      <c r="K36" s="14" t="s">
        <v>250</v>
      </c>
      <c r="L36" s="8"/>
      <c r="M36" s="8" t="str">
        <f>IF(E36="","Check dates",IF(ReadMe!$B$4&lt;E36,"Upcoming",IF(ReadMe!$B$4&lt;=IF(F36="",E36,F36),"In progress / today","Past")))</f>
        <v>Upcoming</v>
      </c>
      <c r="N36" s="12">
        <f>IF(E36="","",E36-ReadMe!$B$4)</f>
        <v>20</v>
      </c>
      <c r="O36" s="13" t="str">
        <f>IFERROR(INDEX(SourceMap!$C$2:$C$73,MATCH(LEFT(J36,FIND(",",J36&amp;",")-1),SourceMap!$A$2:$A$73,0)),"")</f>
        <v>https://www.acg.org/nyc/events/acg-ny-2026-middle-market-week</v>
      </c>
    </row>
    <row r="37" spans="1:15">
      <c r="A37" s="8">
        <v>36</v>
      </c>
      <c r="B37" s="8" t="s">
        <v>259</v>
      </c>
      <c r="C37" s="9" t="s">
        <v>430</v>
      </c>
      <c r="D37" s="8" t="s">
        <v>267</v>
      </c>
      <c r="E37" s="10">
        <v>46336</v>
      </c>
      <c r="F37" s="10">
        <v>46338</v>
      </c>
      <c r="G37" s="8" t="s">
        <v>431</v>
      </c>
      <c r="H37" s="8" t="s">
        <v>432</v>
      </c>
      <c r="I37" s="8" t="s">
        <v>264</v>
      </c>
      <c r="J37" s="8" t="s">
        <v>103</v>
      </c>
      <c r="K37" s="11" t="s">
        <v>242</v>
      </c>
      <c r="L37" s="8"/>
      <c r="M37" s="8" t="str">
        <f>IF(E37="","Check dates",IF(ReadMe!$B$4&lt;E37,"Upcoming",IF(ReadMe!$B$4&lt;=IF(F37="",E37,F37),"In progress / today","Past")))</f>
        <v>Upcoming</v>
      </c>
      <c r="N37" s="12">
        <f>IF(E37="","",E37-ReadMe!$B$4)</f>
        <v>21</v>
      </c>
      <c r="O37" s="13" t="str">
        <f>IFERROR(INDEX(SourceMap!$C$2:$C$73,MATCH(LEFT(J37,FIND(",",J37&amp;",")-1),SourceMap!$A$2:$A$73,0)),"")</f>
        <v>https://www.cellectis.com/en/event/stifel-nyc-healthcare-conference/  |  https://investors.oculis.com/events/event-details/stifel-healthcare-conference</v>
      </c>
    </row>
    <row r="38" spans="1:15">
      <c r="A38" s="8">
        <v>37</v>
      </c>
      <c r="B38" s="8" t="s">
        <v>244</v>
      </c>
      <c r="C38" s="9" t="s">
        <v>433</v>
      </c>
      <c r="D38" s="8" t="s">
        <v>434</v>
      </c>
      <c r="E38" s="10">
        <v>46336</v>
      </c>
      <c r="F38" s="10">
        <v>46337</v>
      </c>
      <c r="G38" s="8" t="s">
        <v>435</v>
      </c>
      <c r="H38" s="8" t="s">
        <v>436</v>
      </c>
      <c r="I38" s="8" t="s">
        <v>437</v>
      </c>
      <c r="J38" s="8" t="s">
        <v>145</v>
      </c>
      <c r="K38" s="11" t="s">
        <v>242</v>
      </c>
      <c r="L38" s="8" t="s">
        <v>438</v>
      </c>
      <c r="M38" s="8" t="str">
        <f>IF(E38="","Check dates",IF(ReadMe!$B$4&lt;E38,"Upcoming",IF(ReadMe!$B$4&lt;=IF(F38="",E38,F38),"In progress / today","Past")))</f>
        <v>Upcoming</v>
      </c>
      <c r="N38" s="12">
        <f>IF(E38="","",E38-ReadMe!$B$4)</f>
        <v>21</v>
      </c>
      <c r="O38" s="13" t="str">
        <f>IFERROR(INDEX(SourceMap!$C$2:$C$73,MATCH(LEFT(J38,FIND(",",J38&amp;",")-1),SourceMap!$A$2:$A$73,0)),"")</f>
        <v>https://prestelandpartner.com/familyofficeforumzurich.html</v>
      </c>
    </row>
    <row r="39" spans="1:15">
      <c r="A39" s="8">
        <v>38</v>
      </c>
      <c r="B39" s="8" t="s">
        <v>244</v>
      </c>
      <c r="C39" s="9" t="s">
        <v>439</v>
      </c>
      <c r="D39" s="8" t="s">
        <v>440</v>
      </c>
      <c r="E39" s="10">
        <v>46338</v>
      </c>
      <c r="F39" s="10">
        <v>46338</v>
      </c>
      <c r="G39" s="8" t="s">
        <v>441</v>
      </c>
      <c r="H39" s="8" t="s">
        <v>442</v>
      </c>
      <c r="I39" s="8" t="s">
        <v>443</v>
      </c>
      <c r="J39" s="8" t="s">
        <v>148</v>
      </c>
      <c r="K39" s="14" t="s">
        <v>250</v>
      </c>
      <c r="L39" s="8"/>
      <c r="M39" s="8" t="str">
        <f>IF(E39="","Check dates",IF(ReadMe!$B$4&lt;E39,"Upcoming",IF(ReadMe!$B$4&lt;=IF(F39="",E39,F39),"In progress / today","Past")))</f>
        <v>Upcoming</v>
      </c>
      <c r="N39" s="12">
        <f>IF(E39="","",E39-ReadMe!$B$4)</f>
        <v>23</v>
      </c>
      <c r="O39" s="13" t="str">
        <f>IFERROR(INDEX(SourceMap!$C$2:$C$73,MATCH(LEFT(J39,FIND(",",J39&amp;",")-1),SourceMap!$A$2:$A$73,0)),"")</f>
        <v>https://www.usafamilyofficeconference.com/</v>
      </c>
    </row>
    <row r="40" spans="1:15">
      <c r="A40" s="8">
        <v>39</v>
      </c>
      <c r="B40" s="8" t="s">
        <v>259</v>
      </c>
      <c r="C40" s="9" t="s">
        <v>444</v>
      </c>
      <c r="D40" s="8" t="s">
        <v>445</v>
      </c>
      <c r="E40" s="10">
        <v>46342</v>
      </c>
      <c r="F40" s="8"/>
      <c r="G40" s="8" t="s">
        <v>446</v>
      </c>
      <c r="H40" s="8" t="s">
        <v>447</v>
      </c>
      <c r="I40" s="8" t="s">
        <v>422</v>
      </c>
      <c r="J40" s="8" t="s">
        <v>106</v>
      </c>
      <c r="K40" s="14" t="s">
        <v>250</v>
      </c>
      <c r="L40" s="8" t="s">
        <v>448</v>
      </c>
      <c r="M40" s="8" t="str">
        <f>IF(E40="","Check dates",IF(ReadMe!$B$4&lt;E40,"Upcoming",IF(ReadMe!$B$4&lt;=IF(F40="",E40,F40),"In progress / today","Past")))</f>
        <v>Upcoming</v>
      </c>
      <c r="N40" s="12">
        <f>IF(E40="","",E40-ReadMe!$B$4)</f>
        <v>27</v>
      </c>
      <c r="O40" s="13" t="str">
        <f>IFERROR(INDEX(SourceMap!$C$2:$C$73,MATCH(LEFT(J40,FIND(",",J40&amp;",")-1),SourceMap!$A$2:$A$73,0)),"")</f>
        <v>https://www.jefferies.com/events/global-healthcare-conference-in-london-2/  |  https://www.thepharmaletter.com/jefferies-london-healthcare-conference</v>
      </c>
    </row>
    <row r="41" spans="1:15">
      <c r="A41" s="8">
        <v>40</v>
      </c>
      <c r="B41" s="8" t="s">
        <v>259</v>
      </c>
      <c r="C41" s="9" t="s">
        <v>449</v>
      </c>
      <c r="D41" s="8" t="s">
        <v>261</v>
      </c>
      <c r="E41" s="10">
        <v>46342</v>
      </c>
      <c r="F41" s="10">
        <v>46344</v>
      </c>
      <c r="G41" s="8" t="s">
        <v>450</v>
      </c>
      <c r="H41" s="8" t="s">
        <v>451</v>
      </c>
      <c r="I41" s="8" t="s">
        <v>452</v>
      </c>
      <c r="J41" s="8" t="s">
        <v>453</v>
      </c>
      <c r="K41" s="14" t="s">
        <v>250</v>
      </c>
      <c r="L41" s="8" t="s">
        <v>454</v>
      </c>
      <c r="M41" s="8" t="str">
        <f>IF(E41="","Check dates",IF(ReadMe!$B$4&lt;E41,"Upcoming",IF(ReadMe!$B$4&lt;=IF(F41="",E41,F41),"In progress / today","Past")))</f>
        <v>Upcoming</v>
      </c>
      <c r="N41" s="12">
        <f>IF(E41="","",E41-ReadMe!$B$4)</f>
        <v>27</v>
      </c>
      <c r="O41" s="13" t="str">
        <f>IFERROR(INDEX(SourceMap!$C$2:$C$73,MATCH(LEFT(J41,FIND(",",J41&amp;",")-1),SourceMap!$A$2:$A$73,0)),"")</f>
        <v>https://www.investorwire.com/investor-news-breaks/investornewsbreaks-roth-capital-partners-hosts-and-sponsors-investor-events-through-june-2027/</v>
      </c>
    </row>
    <row r="42" spans="1:15">
      <c r="A42" s="8">
        <v>41</v>
      </c>
      <c r="B42" s="8" t="s">
        <v>259</v>
      </c>
      <c r="C42" s="9" t="s">
        <v>455</v>
      </c>
      <c r="D42" s="8" t="s">
        <v>261</v>
      </c>
      <c r="E42" s="10">
        <v>46343</v>
      </c>
      <c r="F42" s="10">
        <v>46344</v>
      </c>
      <c r="G42" s="8" t="s">
        <v>456</v>
      </c>
      <c r="H42" s="8" t="s">
        <v>457</v>
      </c>
      <c r="I42" s="8" t="s">
        <v>458</v>
      </c>
      <c r="J42" s="8" t="s">
        <v>453</v>
      </c>
      <c r="K42" s="14" t="s">
        <v>250</v>
      </c>
      <c r="L42" s="8" t="s">
        <v>459</v>
      </c>
      <c r="M42" s="8" t="str">
        <f>IF(E42="","Check dates",IF(ReadMe!$B$4&lt;E42,"Upcoming",IF(ReadMe!$B$4&lt;=IF(F42="",E42,F42),"In progress / today","Past")))</f>
        <v>Upcoming</v>
      </c>
      <c r="N42" s="12">
        <f>IF(E42="","",E42-ReadMe!$B$4)</f>
        <v>28</v>
      </c>
      <c r="O42" s="13" t="str">
        <f>IFERROR(INDEX(SourceMap!$C$2:$C$73,MATCH(LEFT(J42,FIND(",",J42&amp;",")-1),SourceMap!$A$2:$A$73,0)),"")</f>
        <v>https://www.investorwire.com/investor-news-breaks/investornewsbreaks-roth-capital-partners-hosts-and-sponsors-investor-events-through-june-2027/</v>
      </c>
    </row>
    <row r="43" spans="1:15">
      <c r="A43" s="8">
        <v>42</v>
      </c>
      <c r="B43" s="8" t="s">
        <v>259</v>
      </c>
      <c r="C43" s="9" t="s">
        <v>460</v>
      </c>
      <c r="D43" s="8" t="s">
        <v>461</v>
      </c>
      <c r="E43" s="10">
        <v>46343</v>
      </c>
      <c r="F43" s="10">
        <v>46345</v>
      </c>
      <c r="G43" s="8" t="s">
        <v>462</v>
      </c>
      <c r="H43" s="8" t="s">
        <v>463</v>
      </c>
      <c r="I43" s="8" t="s">
        <v>464</v>
      </c>
      <c r="J43" s="8" t="s">
        <v>109</v>
      </c>
      <c r="K43" s="11" t="s">
        <v>242</v>
      </c>
      <c r="L43" s="8"/>
      <c r="M43" s="8" t="str">
        <f>IF(E43="","Check dates",IF(ReadMe!$B$4&lt;E43,"Upcoming",IF(ReadMe!$B$4&lt;=IF(F43="",E43,F43),"In progress / today","Past")))</f>
        <v>Upcoming</v>
      </c>
      <c r="N43" s="12">
        <f>IF(E43="","",E43-ReadMe!$B$4)</f>
        <v>28</v>
      </c>
      <c r="O43" s="13" t="str">
        <f>IFERROR(INDEX(SourceMap!$C$2:$C$73,MATCH(LEFT(J43,FIND(",",J43&amp;",")-1),SourceMap!$A$2:$A$73,0)),"")</f>
        <v>https://www.stephens.com/events/save-the-date-stephens-annual-investment-conference</v>
      </c>
    </row>
    <row r="44" spans="1:15">
      <c r="A44" s="8">
        <v>43</v>
      </c>
      <c r="B44" s="8" t="s">
        <v>244</v>
      </c>
      <c r="C44" s="9" t="s">
        <v>465</v>
      </c>
      <c r="D44" s="8" t="s">
        <v>246</v>
      </c>
      <c r="E44" s="10">
        <v>46343</v>
      </c>
      <c r="F44" s="10">
        <v>46344</v>
      </c>
      <c r="G44" s="8" t="s">
        <v>456</v>
      </c>
      <c r="H44" s="8" t="s">
        <v>457</v>
      </c>
      <c r="I44" s="8" t="s">
        <v>466</v>
      </c>
      <c r="J44" s="8" t="s">
        <v>181</v>
      </c>
      <c r="K44" s="14" t="s">
        <v>250</v>
      </c>
      <c r="L44" s="8" t="s">
        <v>467</v>
      </c>
      <c r="M44" s="8" t="str">
        <f>IF(E44="","Check dates",IF(ReadMe!$B$4&lt;E44,"Upcoming",IF(ReadMe!$B$4&lt;=IF(F44="",E44,F44),"In progress / today","Past")))</f>
        <v>Upcoming</v>
      </c>
      <c r="N44" s="12">
        <f>IF(E44="","",E44-ReadMe!$B$4)</f>
        <v>28</v>
      </c>
      <c r="O44" s="13" t="str">
        <f>IFERROR(INDEX(SourceMap!$C$2:$C$73,MATCH(LEFT(J44,FIND(",",J44&amp;",")-1),SourceMap!$A$2:$A$73,0)),"")</f>
        <v>https://informaconnect.com/superreturnasia/  |  https://informaconnect.com/superreturn-north-america/  |  https://ilpa.org/industry-event/superreturn-middle-east/  |  https://10times.com/superreturn-middle-east</v>
      </c>
    </row>
    <row r="45" spans="1:15">
      <c r="A45" s="8">
        <v>44</v>
      </c>
      <c r="B45" s="8" t="s">
        <v>244</v>
      </c>
      <c r="C45" s="9" t="s">
        <v>468</v>
      </c>
      <c r="D45" s="8" t="s">
        <v>469</v>
      </c>
      <c r="E45" s="10">
        <v>46344</v>
      </c>
      <c r="F45" s="10">
        <v>46345</v>
      </c>
      <c r="G45" s="8" t="s">
        <v>470</v>
      </c>
      <c r="H45" s="8" t="s">
        <v>471</v>
      </c>
      <c r="I45" s="8" t="s">
        <v>343</v>
      </c>
      <c r="J45" s="8" t="s">
        <v>151</v>
      </c>
      <c r="K45" s="11" t="s">
        <v>242</v>
      </c>
      <c r="L45" s="8" t="s">
        <v>472</v>
      </c>
      <c r="M45" s="8" t="str">
        <f>IF(E45="","Check dates",IF(ReadMe!$B$4&lt;E45,"Upcoming",IF(ReadMe!$B$4&lt;=IF(F45="",E45,F45),"In progress / today","Past")))</f>
        <v>Upcoming</v>
      </c>
      <c r="N45" s="12">
        <f>IF(E45="","",E45-ReadMe!$B$4)</f>
        <v>29</v>
      </c>
      <c r="O45" s="13" t="str">
        <f>IFERROR(INDEX(SourceMap!$C$2:$C$73,MATCH(LEFT(J45,FIND(",",J45&amp;",")-1),SourceMap!$A$2:$A$73,0)),"")</f>
        <v>https://www.campdenwealth.com/palmbeach</v>
      </c>
    </row>
    <row r="46" spans="1:15">
      <c r="A46" s="8">
        <v>45</v>
      </c>
      <c r="B46" s="8" t="s">
        <v>235</v>
      </c>
      <c r="C46" s="9" t="s">
        <v>473</v>
      </c>
      <c r="D46" s="8" t="s">
        <v>474</v>
      </c>
      <c r="E46" s="10">
        <v>46356</v>
      </c>
      <c r="F46" s="10">
        <v>46356</v>
      </c>
      <c r="G46" s="8" t="s">
        <v>475</v>
      </c>
      <c r="H46" s="8" t="s">
        <v>476</v>
      </c>
      <c r="I46" s="8" t="s">
        <v>477</v>
      </c>
      <c r="J46" s="8" t="s">
        <v>73</v>
      </c>
      <c r="K46" s="14" t="s">
        <v>250</v>
      </c>
      <c r="L46" s="8" t="s">
        <v>478</v>
      </c>
      <c r="M46" s="8" t="str">
        <f>IF(E46="","Check dates",IF(ReadMe!$B$4&lt;E46,"Upcoming",IF(ReadMe!$B$4&lt;=IF(F46="",E46,F46),"In progress / today","Past")))</f>
        <v>Upcoming</v>
      </c>
      <c r="N46" s="12">
        <f>IF(E46="","",E46-ReadMe!$B$4)</f>
        <v>41</v>
      </c>
      <c r="O46" s="13" t="str">
        <f>IFERROR(INDEX(SourceMap!$C$2:$C$73,MATCH(LEFT(J46,FIND(",",J46&amp;",")-1),SourceMap!$A$2:$A$73,0)),"")</f>
        <v>https://b2idigital.com/nyse-growth-equity-symposium-2026</v>
      </c>
    </row>
    <row r="47" spans="1:15">
      <c r="A47" s="8">
        <v>46</v>
      </c>
      <c r="B47" s="8" t="s">
        <v>259</v>
      </c>
      <c r="C47" s="9" t="s">
        <v>479</v>
      </c>
      <c r="D47" s="8" t="s">
        <v>480</v>
      </c>
      <c r="E47" s="10">
        <v>46357</v>
      </c>
      <c r="F47" s="10">
        <v>46359</v>
      </c>
      <c r="G47" s="8" t="s">
        <v>481</v>
      </c>
      <c r="H47" s="8" t="s">
        <v>482</v>
      </c>
      <c r="I47" s="8" t="s">
        <v>483</v>
      </c>
      <c r="J47" s="8" t="s">
        <v>112</v>
      </c>
      <c r="K47" s="11" t="s">
        <v>242</v>
      </c>
      <c r="L47" s="8" t="s">
        <v>484</v>
      </c>
      <c r="M47" s="8" t="str">
        <f>IF(E47="","Check dates",IF(ReadMe!$B$4&lt;E47,"Upcoming",IF(ReadMe!$B$4&lt;=IF(F47="",E47,F47),"In progress / today","Past")))</f>
        <v>Upcoming</v>
      </c>
      <c r="N47" s="12">
        <f>IF(E47="","",E47-ReadMe!$B$4)</f>
        <v>42</v>
      </c>
      <c r="O47" s="13" t="str">
        <f>IFERROR(INDEX(SourceMap!$C$2:$C$73,MATCH(LEFT(J47,FIND(",",J47&amp;",")-1),SourceMap!$A$2:$A$73,0)),"")</f>
        <v>https://minesandmoney.com/london/</v>
      </c>
    </row>
    <row r="48" spans="1:15">
      <c r="A48" s="8">
        <v>47</v>
      </c>
      <c r="B48" s="8" t="s">
        <v>259</v>
      </c>
      <c r="C48" s="9" t="s">
        <v>485</v>
      </c>
      <c r="D48" s="8" t="s">
        <v>486</v>
      </c>
      <c r="E48" s="10">
        <v>46357</v>
      </c>
      <c r="F48" s="10">
        <v>46359</v>
      </c>
      <c r="G48" s="8" t="s">
        <v>481</v>
      </c>
      <c r="H48" s="8" t="s">
        <v>487</v>
      </c>
      <c r="I48" s="8" t="s">
        <v>264</v>
      </c>
      <c r="J48" s="8" t="s">
        <v>115</v>
      </c>
      <c r="K48" s="14" t="s">
        <v>250</v>
      </c>
      <c r="L48" s="8" t="s">
        <v>488</v>
      </c>
      <c r="M48" s="8" t="str">
        <f>IF(E48="","Check dates",IF(ReadMe!$B$4&lt;E48,"Upcoming",IF(ReadMe!$B$4&lt;=IF(F48="",E48,F48),"In progress / today","Past")))</f>
        <v>Upcoming</v>
      </c>
      <c r="N48" s="12">
        <f>IF(E48="","",E48-ReadMe!$B$4)</f>
        <v>42</v>
      </c>
      <c r="O48" s="13" t="str">
        <f>IFERROR(INDEX(SourceMap!$C$2:$C$73,MATCH(LEFT(J48,FIND(",",J48&amp;",")-1),SourceMap!$A$2:$A$73,0)),"")</f>
        <v>https://www.life-sciences-usa.com/product/piper-sandler-annual-healthcare-group-jaffray-conference-formerly-2001-32660.html</v>
      </c>
    </row>
    <row r="49" spans="1:15">
      <c r="A49" s="8">
        <v>48</v>
      </c>
      <c r="B49" s="8" t="s">
        <v>244</v>
      </c>
      <c r="C49" s="9" t="s">
        <v>489</v>
      </c>
      <c r="D49" s="8" t="s">
        <v>246</v>
      </c>
      <c r="E49" s="10">
        <v>46357</v>
      </c>
      <c r="F49" s="10">
        <v>46359</v>
      </c>
      <c r="G49" s="8" t="s">
        <v>481</v>
      </c>
      <c r="H49" s="8" t="s">
        <v>490</v>
      </c>
      <c r="I49" s="8" t="s">
        <v>491</v>
      </c>
      <c r="J49" s="8" t="s">
        <v>163</v>
      </c>
      <c r="K49" s="11" t="s">
        <v>242</v>
      </c>
      <c r="L49" s="8"/>
      <c r="M49" s="8" t="str">
        <f>IF(E49="","Check dates",IF(ReadMe!$B$4&lt;E49,"Upcoming",IF(ReadMe!$B$4&lt;=IF(F49="",E49,F49),"In progress / today","Past")))</f>
        <v>Upcoming</v>
      </c>
      <c r="N49" s="12">
        <f>IF(E49="","",E49-ReadMe!$B$4)</f>
        <v>42</v>
      </c>
      <c r="O49" s="13" t="str">
        <f>IFERROR(INDEX(SourceMap!$C$2:$C$73,MATCH(LEFT(J49,FIND(",",J49&amp;",")-1),SourceMap!$A$2:$A$73,0)),"")</f>
        <v>https://informaconnect.com/superreturn-africa/</v>
      </c>
    </row>
    <row r="50" spans="1:15">
      <c r="A50" s="8">
        <v>49</v>
      </c>
      <c r="B50" s="8" t="s">
        <v>244</v>
      </c>
      <c r="C50" s="9" t="s">
        <v>170</v>
      </c>
      <c r="D50" s="8" t="s">
        <v>340</v>
      </c>
      <c r="E50" s="10">
        <v>46357</v>
      </c>
      <c r="F50" s="10">
        <v>46359</v>
      </c>
      <c r="G50" s="8" t="s">
        <v>481</v>
      </c>
      <c r="H50" s="8" t="s">
        <v>492</v>
      </c>
      <c r="I50" s="8" t="s">
        <v>493</v>
      </c>
      <c r="J50" s="8" t="s">
        <v>169</v>
      </c>
      <c r="K50" s="11" t="s">
        <v>242</v>
      </c>
      <c r="L50" s="8" t="s">
        <v>494</v>
      </c>
      <c r="M50" s="8" t="str">
        <f>IF(E50="","Check dates",IF(ReadMe!$B$4&lt;E50,"Upcoming",IF(ReadMe!$B$4&lt;=IF(F50="",E50,F50),"In progress / today","Past")))</f>
        <v>Upcoming</v>
      </c>
      <c r="N50" s="12">
        <f>IF(E50="","",E50-ReadMe!$B$4)</f>
        <v>42</v>
      </c>
      <c r="O50" s="13" t="str">
        <f>IFERROR(INDEX(SourceMap!$C$2:$C$73,MATCH(LEFT(J50,FIND(",",J50&amp;",")-1),SourceMap!$A$2:$A$73,0)),"")</f>
        <v>https://opalgroup.net/finance/clo-summit-2026/</v>
      </c>
    </row>
    <row r="51" spans="1:15">
      <c r="A51" s="8">
        <v>50</v>
      </c>
      <c r="B51" s="8" t="s">
        <v>259</v>
      </c>
      <c r="C51" s="9" t="s">
        <v>495</v>
      </c>
      <c r="D51" s="8" t="s">
        <v>496</v>
      </c>
      <c r="E51" s="10">
        <v>46358</v>
      </c>
      <c r="F51" s="10">
        <v>46358</v>
      </c>
      <c r="G51" s="8" t="s">
        <v>497</v>
      </c>
      <c r="H51" s="8" t="s">
        <v>498</v>
      </c>
      <c r="I51" s="8" t="s">
        <v>499</v>
      </c>
      <c r="J51" s="8" t="s">
        <v>121</v>
      </c>
      <c r="K51" s="14" t="s">
        <v>250</v>
      </c>
      <c r="L51" s="8" t="s">
        <v>500</v>
      </c>
      <c r="M51" s="8" t="str">
        <f>IF(E51="","Check dates",IF(ReadMe!$B$4&lt;E51,"Upcoming",IF(ReadMe!$B$4&lt;=IF(F51="",E51,F51),"In progress / today","Past")))</f>
        <v>Upcoming</v>
      </c>
      <c r="N51" s="12">
        <f>IF(E51="","",E51-ReadMe!$B$4)</f>
        <v>43</v>
      </c>
      <c r="O51" s="13" t="str">
        <f>IFERROR(INDEX(SourceMap!$C$2:$C$73,MATCH(LEFT(J51,FIND(",",J51&amp;",")-1),SourceMap!$A$2:$A$73,0)),"")</f>
        <v>https://www.autoliv.com/node/2338</v>
      </c>
    </row>
    <row r="52" spans="1:15">
      <c r="A52" s="8">
        <v>51</v>
      </c>
      <c r="B52" s="8" t="s">
        <v>244</v>
      </c>
      <c r="C52" s="9" t="s">
        <v>501</v>
      </c>
      <c r="D52" s="8" t="s">
        <v>409</v>
      </c>
      <c r="E52" s="10">
        <v>46358</v>
      </c>
      <c r="F52" s="10">
        <v>46358</v>
      </c>
      <c r="G52" s="8" t="s">
        <v>497</v>
      </c>
      <c r="H52" s="8" t="s">
        <v>502</v>
      </c>
      <c r="I52" s="8" t="s">
        <v>503</v>
      </c>
      <c r="J52" s="8" t="s">
        <v>166</v>
      </c>
      <c r="K52" s="11" t="s">
        <v>242</v>
      </c>
      <c r="L52" s="8"/>
      <c r="M52" s="8" t="str">
        <f>IF(E52="","Check dates",IF(ReadMe!$B$4&lt;E52,"Upcoming",IF(ReadMe!$B$4&lt;=IF(F52="",E52,F52),"In progress / today","Past")))</f>
        <v>Upcoming</v>
      </c>
      <c r="N52" s="12">
        <f>IF(E52="","",E52-ReadMe!$B$4)</f>
        <v>43</v>
      </c>
      <c r="O52" s="13" t="str">
        <f>IFERROR(INDEX(SourceMap!$C$2:$C$73,MATCH(LEFT(J52,FIND(",",J52&amp;",")-1),SourceMap!$A$2:$A$73,0)),"")</f>
        <v>https://www.marketsgroup.org/forums/private-credit-us</v>
      </c>
    </row>
    <row r="53" spans="1:15">
      <c r="A53" s="8">
        <v>52</v>
      </c>
      <c r="B53" s="8" t="s">
        <v>244</v>
      </c>
      <c r="C53" s="9" t="s">
        <v>504</v>
      </c>
      <c r="D53" s="8" t="s">
        <v>399</v>
      </c>
      <c r="E53" s="10">
        <v>46358</v>
      </c>
      <c r="F53" s="10">
        <v>46359</v>
      </c>
      <c r="G53" s="8" t="s">
        <v>505</v>
      </c>
      <c r="H53" s="8" t="s">
        <v>506</v>
      </c>
      <c r="I53" s="8" t="s">
        <v>507</v>
      </c>
      <c r="J53" s="8" t="s">
        <v>172</v>
      </c>
      <c r="K53" s="11" t="s">
        <v>242</v>
      </c>
      <c r="L53" s="8"/>
      <c r="M53" s="8" t="str">
        <f>IF(E53="","Check dates",IF(ReadMe!$B$4&lt;E53,"Upcoming",IF(ReadMe!$B$4&lt;=IF(F53="",E53,F53),"In progress / today","Past")))</f>
        <v>Upcoming</v>
      </c>
      <c r="N53" s="12">
        <f>IF(E53="","",E53-ReadMe!$B$4)</f>
        <v>43</v>
      </c>
      <c r="O53" s="13" t="str">
        <f>IFERROR(INDEX(SourceMap!$C$2:$C$73,MATCH(LEFT(J53,FIND(",",J53&amp;",")-1),SourceMap!$A$2:$A$73,0)),"")</f>
        <v>https://www.peievents.com/en/event/women-private-debt-forum/</v>
      </c>
    </row>
    <row r="54" spans="1:15">
      <c r="A54" s="8">
        <v>53</v>
      </c>
      <c r="B54" s="8" t="s">
        <v>244</v>
      </c>
      <c r="C54" s="9" t="s">
        <v>508</v>
      </c>
      <c r="D54" s="8" t="s">
        <v>509</v>
      </c>
      <c r="E54" s="10">
        <v>46363</v>
      </c>
      <c r="F54" s="10">
        <v>46363</v>
      </c>
      <c r="G54" s="8" t="s">
        <v>510</v>
      </c>
      <c r="H54" s="8" t="s">
        <v>511</v>
      </c>
      <c r="I54" s="8" t="s">
        <v>512</v>
      </c>
      <c r="J54" s="8" t="s">
        <v>178</v>
      </c>
      <c r="K54" s="11" t="s">
        <v>242</v>
      </c>
      <c r="L54" s="8"/>
      <c r="M54" s="8" t="str">
        <f>IF(E54="","Check dates",IF(ReadMe!$B$4&lt;E54,"Upcoming",IF(ReadMe!$B$4&lt;=IF(F54="",E54,F54),"In progress / today","Past")))</f>
        <v>Upcoming</v>
      </c>
      <c r="N54" s="12">
        <f>IF(E54="","",E54-ReadMe!$B$4)</f>
        <v>48</v>
      </c>
      <c r="O54" s="13" t="str">
        <f>IFERROR(INDEX(SourceMap!$C$2:$C$73,MATCH(LEFT(J54,FIND(",",J54&amp;",")-1),SourceMap!$A$2:$A$73,0)),"")</f>
        <v>http://forums.capitallink.com/Forum_Calendar_Next.pdf</v>
      </c>
    </row>
    <row r="55" spans="1:15">
      <c r="A55" s="8">
        <v>54</v>
      </c>
      <c r="B55" s="8" t="s">
        <v>235</v>
      </c>
      <c r="C55" s="9" t="s">
        <v>513</v>
      </c>
      <c r="D55" s="8" t="s">
        <v>514</v>
      </c>
      <c r="E55" s="10">
        <v>46364</v>
      </c>
      <c r="F55" s="10">
        <v>46365</v>
      </c>
      <c r="G55" s="8" t="s">
        <v>515</v>
      </c>
      <c r="H55" s="8" t="s">
        <v>269</v>
      </c>
      <c r="I55" s="8" t="s">
        <v>516</v>
      </c>
      <c r="J55" s="8" t="s">
        <v>79</v>
      </c>
      <c r="K55" s="14" t="s">
        <v>250</v>
      </c>
      <c r="L55" s="8" t="s">
        <v>517</v>
      </c>
      <c r="M55" s="8" t="str">
        <f>IF(E55="","Check dates",IF(ReadMe!$B$4&lt;E55,"Upcoming",IF(ReadMe!$B$4&lt;=IF(F55="",E55,F55),"In progress / today","Past")))</f>
        <v>Upcoming</v>
      </c>
      <c r="N55" s="12">
        <f>IF(E55="","",E55-ReadMe!$B$4)</f>
        <v>49</v>
      </c>
      <c r="O55" s="13" t="str">
        <f>IFERROR(INDEX(SourceMap!$C$2:$C$73,MATCH(LEFT(J55,FIND(",",J55&amp;",")-1),SourceMap!$A$2:$A$73,0)),"")</f>
        <v>https://www.iaccessalpha.com/</v>
      </c>
    </row>
    <row r="56" spans="1:15">
      <c r="A56" s="8">
        <v>55</v>
      </c>
      <c r="B56" s="8" t="s">
        <v>235</v>
      </c>
      <c r="C56" s="9" t="s">
        <v>518</v>
      </c>
      <c r="D56" s="8" t="s">
        <v>519</v>
      </c>
      <c r="E56" s="10">
        <v>46365</v>
      </c>
      <c r="F56" s="8"/>
      <c r="G56" s="8" t="s">
        <v>520</v>
      </c>
      <c r="H56" s="8" t="s">
        <v>521</v>
      </c>
      <c r="I56" s="8" t="s">
        <v>522</v>
      </c>
      <c r="J56" s="8" t="s">
        <v>76</v>
      </c>
      <c r="K56" s="14" t="s">
        <v>250</v>
      </c>
      <c r="L56" s="8" t="s">
        <v>523</v>
      </c>
      <c r="M56" s="8" t="str">
        <f>IF(E56="","Check dates",IF(ReadMe!$B$4&lt;E56,"Upcoming",IF(ReadMe!$B$4&lt;=IF(F56="",E56,F56),"In progress / today","Past")))</f>
        <v>Upcoming</v>
      </c>
      <c r="N56" s="12">
        <f>IF(E56="","",E56-ReadMe!$B$4)</f>
        <v>50</v>
      </c>
      <c r="O56" s="13" t="str">
        <f>IFERROR(INDEX(SourceMap!$C$2:$C$73,MATCH(LEFT(J56,FIND(",",J56&amp;",")-1),SourceMap!$A$2:$A$73,0)),"")</f>
        <v>https://sidoti.com/events/december-small-cap-virtual-conference  |  https://www.sidoti.com/events</v>
      </c>
    </row>
    <row r="57" spans="1:15">
      <c r="A57" s="8">
        <v>56</v>
      </c>
      <c r="B57" s="8" t="s">
        <v>259</v>
      </c>
      <c r="C57" s="9" t="s">
        <v>524</v>
      </c>
      <c r="D57" s="8" t="s">
        <v>261</v>
      </c>
      <c r="E57" s="10">
        <v>46365</v>
      </c>
      <c r="F57" s="10">
        <v>46368</v>
      </c>
      <c r="G57" s="8" t="s">
        <v>525</v>
      </c>
      <c r="H57" s="8" t="s">
        <v>526</v>
      </c>
      <c r="I57" s="8" t="s">
        <v>527</v>
      </c>
      <c r="J57" s="8" t="s">
        <v>453</v>
      </c>
      <c r="K57" s="14" t="s">
        <v>250</v>
      </c>
      <c r="L57" s="8" t="s">
        <v>528</v>
      </c>
      <c r="M57" s="8" t="str">
        <f>IF(E57="","Check dates",IF(ReadMe!$B$4&lt;E57,"Upcoming",IF(ReadMe!$B$4&lt;=IF(F57="",E57,F57),"In progress / today","Past")))</f>
        <v>Upcoming</v>
      </c>
      <c r="N57" s="12">
        <f>IF(E57="","",E57-ReadMe!$B$4)</f>
        <v>50</v>
      </c>
      <c r="O57" s="13" t="str">
        <f>IFERROR(INDEX(SourceMap!$C$2:$C$73,MATCH(LEFT(J57,FIND(",",J57&amp;",")-1),SourceMap!$A$2:$A$73,0)),"")</f>
        <v>https://www.investorwire.com/investor-news-breaks/investornewsbreaks-roth-capital-partners-hosts-and-sponsors-investor-events-through-june-2027/</v>
      </c>
    </row>
    <row r="58" spans="1:15">
      <c r="A58" s="8">
        <v>57</v>
      </c>
      <c r="B58" s="8" t="s">
        <v>235</v>
      </c>
      <c r="C58" s="9" t="s">
        <v>529</v>
      </c>
      <c r="D58" s="8" t="s">
        <v>278</v>
      </c>
      <c r="E58" s="8"/>
      <c r="F58" s="8"/>
      <c r="G58" s="8" t="s">
        <v>530</v>
      </c>
      <c r="H58" s="8" t="s">
        <v>269</v>
      </c>
      <c r="I58" s="8" t="s">
        <v>531</v>
      </c>
      <c r="J58" s="8" t="s">
        <v>31</v>
      </c>
      <c r="K58" s="14" t="s">
        <v>250</v>
      </c>
      <c r="L58" s="8" t="s">
        <v>532</v>
      </c>
      <c r="M58" s="8" t="str">
        <f>IF(E58="","Check dates",IF(ReadMe!$B$4&lt;E58,"Upcoming",IF(ReadMe!$B$4&lt;=IF(F58="",E58,F58),"In progress / today","Past")))</f>
        <v>Check dates</v>
      </c>
      <c r="N58" s="12">
        <f>IF(E58="","",E58-ReadMe!$B$4)</f>
        <v/>
      </c>
      <c r="O58" s="13" t="str">
        <f>IFERROR(INDEX(SourceMap!$C$2:$C$73,MATCH(LEFT(J58,FIND(",",J58&amp;",")-1),SourceMap!$A$2:$A$73,0)),"")</f>
        <v>https://nobleconference.com/virtual-october-2026/</v>
      </c>
    </row>
    <row r="59" spans="1:15">
      <c r="A59" s="8">
        <v>58</v>
      </c>
      <c r="B59" s="8" t="s">
        <v>244</v>
      </c>
      <c r="C59" s="9" t="s">
        <v>533</v>
      </c>
      <c r="D59" s="8" t="s">
        <v>246</v>
      </c>
      <c r="E59" s="8"/>
      <c r="F59" s="8"/>
      <c r="G59" s="8" t="s">
        <v>534</v>
      </c>
      <c r="H59" s="8" t="s">
        <v>535</v>
      </c>
      <c r="I59" s="8" t="s">
        <v>536</v>
      </c>
      <c r="J59" s="8" t="s">
        <v>181</v>
      </c>
      <c r="K59" s="14" t="s">
        <v>250</v>
      </c>
      <c r="L59" s="8" t="s">
        <v>537</v>
      </c>
      <c r="M59" s="8" t="str">
        <f>IF(E59="","Check dates",IF(ReadMe!$B$4&lt;E59,"Upcoming",IF(ReadMe!$B$4&lt;=IF(F59="",E59,F59),"In progress / today","Past")))</f>
        <v>Check dates</v>
      </c>
      <c r="N59" s="12">
        <f>IF(E59="","",E59-ReadMe!$B$4)</f>
        <v/>
      </c>
      <c r="O59" s="13" t="str">
        <f>IFERROR(INDEX(SourceMap!$C$2:$C$73,MATCH(LEFT(J59,FIND(",",J59&amp;",")-1),SourceMap!$A$2:$A$73,0)),"")</f>
        <v>https://informaconnect.com/superreturnasia/  |  https://informaconnect.com/superreturn-north-america/  |  https://ilpa.org/industry-event/superreturn-middle-east/  |  https://10times.com/superreturn-middle-east</v>
      </c>
    </row>
    <row r="60" spans="1:15">
      <c r="A60" s="8">
        <v>59</v>
      </c>
      <c r="B60" s="8" t="s">
        <v>244</v>
      </c>
      <c r="C60" s="9" t="s">
        <v>538</v>
      </c>
      <c r="D60" s="8" t="s">
        <v>509</v>
      </c>
      <c r="E60" s="8"/>
      <c r="F60" s="8"/>
      <c r="G60" s="8" t="s">
        <v>539</v>
      </c>
      <c r="H60" s="8" t="s">
        <v>540</v>
      </c>
      <c r="I60" s="8" t="s">
        <v>541</v>
      </c>
      <c r="J60" s="8" t="s">
        <v>542</v>
      </c>
      <c r="K60" s="14" t="s">
        <v>250</v>
      </c>
      <c r="L60" s="8" t="s">
        <v>543</v>
      </c>
      <c r="M60" s="8" t="str">
        <f>IF(E60="","Check dates",IF(ReadMe!$B$4&lt;E60,"Upcoming",IF(ReadMe!$B$4&lt;=IF(F60="",E60,F60),"In progress / today","Past")))</f>
        <v>Check dates</v>
      </c>
      <c r="N60" s="12">
        <f>IF(E60="","",E60-ReadMe!$B$4)</f>
        <v/>
      </c>
      <c r="O60" s="13" t="str">
        <f>IFERROR(INDEX(SourceMap!$C$2:$C$73,MATCH(LEFT(J60,FIND(",",J60&amp;",")-1),SourceMap!$A$2:$A$73,0)),"")</f>
        <v>http://forums.capitallink.com/Forum_Calendar_Next.pdf</v>
      </c>
    </row>
    <row r="61" spans="1:15">
      <c r="A61" s="8">
        <v>60</v>
      </c>
      <c r="B61" s="8" t="s">
        <v>244</v>
      </c>
      <c r="C61" s="9" t="s">
        <v>544</v>
      </c>
      <c r="D61" s="8" t="s">
        <v>284</v>
      </c>
      <c r="E61" s="8"/>
      <c r="F61" s="8"/>
      <c r="G61" s="8" t="s">
        <v>545</v>
      </c>
      <c r="H61" s="8" t="s">
        <v>546</v>
      </c>
      <c r="I61" s="8" t="s">
        <v>547</v>
      </c>
      <c r="J61" s="8" t="s">
        <v>193</v>
      </c>
      <c r="K61" s="14" t="s">
        <v>250</v>
      </c>
      <c r="L61" s="8" t="s">
        <v>548</v>
      </c>
      <c r="M61" s="8" t="str">
        <f>IF(E61="","Check dates",IF(ReadMe!$B$4&lt;E61,"Upcoming",IF(ReadMe!$B$4&lt;=IF(F61="",E61,F61),"In progress / today","Past")))</f>
        <v>Check dates</v>
      </c>
      <c r="N61" s="12">
        <f>IF(E61="","",E61-ReadMe!$B$4)</f>
        <v/>
      </c>
      <c r="O61" s="13" t="str">
        <f>IFERROR(INDEX(SourceMap!$C$2:$C$73,MATCH(LEFT(J61,FIND(",",J61&amp;",")-1),SourceMap!$A$2:$A$73,0)),"")</f>
        <v>https://www.miningcriticalmineralscanada.com/  |  https://whysummits.com/epc-mining-summit-toronto-2026/</v>
      </c>
    </row>
  </sheetData>
  <autoFilter ref="A1:O61"/>
  <conditionalFormatting sqref="M2:M61">
    <cfRule type="expression" dxfId="0" priority="1">
      <formula>$M2="Past"</formula>
    </cfRule>
    <cfRule type="expression" dxfId="1" priority="2">
      <formula>$M2="Upcoming"</formula>
    </cfRule>
    <cfRule type="expression" dxfId="2" priority="3">
      <formula>$M2="In progress / today"</formula>
    </cfRule>
    <cfRule type="expression" dxfId="3" priority="4">
      <formula>$M2="Check dates"</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9"/>
  <sheetViews>
    <sheetView workbookViewId="0"/>
  </sheetViews>
  <sheetFormatPr defaultRowHeight="15"/>
  <cols>
    <col min="1" max="1" width="58.7109375" customWidth="1"/>
    <col min="2" max="3" width="16.7109375" customWidth="1"/>
    <col min="4" max="4" width="10.7109375" customWidth="1"/>
  </cols>
  <sheetData>
    <row r="1" spans="1:4">
      <c r="A1" s="1" t="s">
        <v>549</v>
      </c>
    </row>
    <row r="2" spans="1:4">
      <c r="A2" s="2" t="s">
        <v>550</v>
      </c>
      <c r="B2" s="15">
        <f>ReadMe!B4</f>
        <v>46315</v>
      </c>
    </row>
    <row r="4" spans="1:4">
      <c r="A4" s="2" t="s">
        <v>551</v>
      </c>
    </row>
    <row r="5" spans="1:4">
      <c r="A5" s="7" t="s">
        <v>221</v>
      </c>
      <c r="B5" s="7" t="s">
        <v>242</v>
      </c>
      <c r="C5" s="7" t="s">
        <v>250</v>
      </c>
      <c r="D5" s="7" t="s">
        <v>552</v>
      </c>
    </row>
    <row r="6" spans="1:4">
      <c r="A6" s="8" t="s">
        <v>235</v>
      </c>
      <c r="B6" s="8">
        <f>COUNTIFS(Conferences!$B$2:$B$61,$A6,Conferences!$K$2:$K$61,"Confirmed")</f>
        <v>11</v>
      </c>
      <c r="C6" s="8">
        <f>COUNTIFS(Conferences!$B$2:$B$61,$A6,Conferences!$K$2:$K$61,"Partial")</f>
        <v>6</v>
      </c>
      <c r="D6" s="8">
        <f>SUM(B6:C6)</f>
        <v>17</v>
      </c>
    </row>
    <row r="7" spans="1:4">
      <c r="A7" s="8" t="s">
        <v>259</v>
      </c>
      <c r="B7" s="8">
        <f>COUNTIFS(Conferences!$B$2:$B$61,$A7,Conferences!$K$2:$K$61,"Confirmed")</f>
        <v>10</v>
      </c>
      <c r="C7" s="8">
        <f>COUNTIFS(Conferences!$B$2:$B$61,$A7,Conferences!$K$2:$K$61,"Partial")</f>
        <v>10</v>
      </c>
      <c r="D7" s="8">
        <f>SUM(B7:C7)</f>
        <v>20</v>
      </c>
    </row>
    <row r="8" spans="1:4">
      <c r="A8" s="8" t="s">
        <v>244</v>
      </c>
      <c r="B8" s="8">
        <f>COUNTIFS(Conferences!$B$2:$B$61,$A8,Conferences!$K$2:$K$61,"Confirmed")</f>
        <v>15</v>
      </c>
      <c r="C8" s="8">
        <f>COUNTIFS(Conferences!$B$2:$B$61,$A8,Conferences!$K$2:$K$61,"Partial")</f>
        <v>8</v>
      </c>
      <c r="D8" s="8">
        <f>SUM(B8:C8)</f>
        <v>23</v>
      </c>
    </row>
    <row r="9" spans="1:4">
      <c r="A9" s="9" t="s">
        <v>552</v>
      </c>
      <c r="B9" s="9">
        <f>SUM(B6:B8)</f>
        <v>36</v>
      </c>
      <c r="C9" s="9">
        <f>SUM(C6:C8)</f>
        <v>24</v>
      </c>
      <c r="D9" s="9">
        <f>SUM(D6:D8)</f>
        <v>60</v>
      </c>
    </row>
    <row r="11" spans="1:4">
      <c r="A11" s="2" t="s">
        <v>553</v>
      </c>
    </row>
    <row r="12" spans="1:4">
      <c r="A12" s="7" t="s">
        <v>232</v>
      </c>
      <c r="B12" s="7" t="s">
        <v>554</v>
      </c>
    </row>
    <row r="13" spans="1:4">
      <c r="A13" s="8" t="s">
        <v>555</v>
      </c>
      <c r="B13" s="8">
        <f>COUNTIF(Conferences!$M$2:$M$61,A13)</f>
        <v>15</v>
      </c>
    </row>
    <row r="14" spans="1:4">
      <c r="A14" s="8" t="s">
        <v>556</v>
      </c>
      <c r="B14" s="8">
        <f>COUNTIF(Conferences!$M$2:$M$61,A14)</f>
        <v>2</v>
      </c>
    </row>
    <row r="15" spans="1:4">
      <c r="A15" s="8" t="s">
        <v>557</v>
      </c>
      <c r="B15" s="8">
        <f>COUNTIF(Conferences!$M$2:$M$61,A15)</f>
        <v>39</v>
      </c>
    </row>
    <row r="16" spans="1:4">
      <c r="A16" s="8" t="s">
        <v>558</v>
      </c>
      <c r="B16" s="8">
        <f>COUNTIF(Conferences!$M$2:$M$61,A16)</f>
        <v>4</v>
      </c>
    </row>
    <row r="17" spans="1:2">
      <c r="A17" s="9" t="s">
        <v>552</v>
      </c>
      <c r="B17" s="9">
        <f>SUM(B13:B16)</f>
        <v>60</v>
      </c>
    </row>
    <row r="18" spans="1:2">
      <c r="A18" s="8" t="s">
        <v>559</v>
      </c>
      <c r="B18" s="8" t="str">
        <f>IF(B17=D9,"OK","MISMATCH")</f>
        <v>OK</v>
      </c>
    </row>
    <row r="20" spans="1:2">
      <c r="A20" s="2" t="s">
        <v>560</v>
      </c>
    </row>
    <row r="21" spans="1:2">
      <c r="A21" s="7" t="s">
        <v>561</v>
      </c>
      <c r="B21" s="7" t="s">
        <v>562</v>
      </c>
    </row>
    <row r="22" spans="1:2">
      <c r="A22" s="8" t="s">
        <v>563</v>
      </c>
      <c r="B22" s="8">
        <f>COUNTIFS(Conferences!$E$2:$E$61,"&gt;="&amp;DATE(2026,9,1),Conferences!$E$2:$E$61,"&lt;"&amp;DATE(2026,10,1))</f>
        <v>5</v>
      </c>
    </row>
    <row r="23" spans="1:2">
      <c r="A23" s="8" t="s">
        <v>564</v>
      </c>
      <c r="B23" s="8">
        <f>COUNTIFS(Conferences!$E$2:$E$61,"&gt;="&amp;DATE(2026,10,1),Conferences!$E$2:$E$61,"&lt;"&amp;DATE(2026,11,1))</f>
        <v>18</v>
      </c>
    </row>
    <row r="24" spans="1:2">
      <c r="A24" s="8" t="s">
        <v>565</v>
      </c>
      <c r="B24" s="8">
        <f>COUNTIFS(Conferences!$E$2:$E$61,"&gt;="&amp;DATE(2026,11,1),Conferences!$E$2:$E$61,"&lt;"&amp;DATE(2026,12,1))</f>
        <v>22</v>
      </c>
    </row>
    <row r="25" spans="1:2">
      <c r="A25" s="8" t="s">
        <v>566</v>
      </c>
      <c r="B25" s="8">
        <f>COUNTIFS(Conferences!$E$2:$E$61,"&gt;="&amp;DATE(2026,12,1),Conferences!$E$2:$E$61,"&lt;"&amp;DATE(2027,1,1))</f>
        <v>11</v>
      </c>
    </row>
    <row r="26" spans="1:2">
      <c r="A26" s="8" t="s">
        <v>567</v>
      </c>
      <c r="B26" s="8">
        <f>D9-SUM(B22:B25)</f>
        <v>4</v>
      </c>
    </row>
    <row r="27" spans="1:2">
      <c r="A27" s="16" t="s">
        <v>568</v>
      </c>
    </row>
    <row r="29" spans="1:2">
      <c r="A29" s="8" t="s">
        <v>569</v>
      </c>
      <c r="B29" s="8">
        <f>COUNTA(Leads!A2:A200)</f>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6"/>
  <sheetViews>
    <sheetView workbookViewId="0">
      <pane ySplit="1" topLeftCell="A2" activePane="bottomLeft" state="frozen"/>
      <selection pane="bottomLeft"/>
    </sheetView>
  </sheetViews>
  <sheetFormatPr defaultRowHeight="15"/>
  <cols>
    <col min="1" max="1" width="55.7109375" customWidth="1"/>
    <col min="2" max="2" width="110.7109375" customWidth="1"/>
    <col min="3" max="3" width="10.7109375" customWidth="1"/>
  </cols>
  <sheetData>
    <row r="1" spans="1:3">
      <c r="A1" s="17" t="s">
        <v>570</v>
      </c>
      <c r="B1" s="17" t="s">
        <v>571</v>
      </c>
      <c r="C1" s="17" t="s">
        <v>229</v>
      </c>
    </row>
    <row r="2" spans="1:3">
      <c r="A2" s="9" t="s">
        <v>572</v>
      </c>
      <c r="B2" s="8" t="s">
        <v>573</v>
      </c>
      <c r="C2" s="8" t="s">
        <v>118</v>
      </c>
    </row>
    <row r="3" spans="1:3">
      <c r="A3" s="9" t="s">
        <v>574</v>
      </c>
      <c r="B3" s="8" t="s">
        <v>575</v>
      </c>
      <c r="C3" s="8" t="s">
        <v>184</v>
      </c>
    </row>
    <row r="4" spans="1:3">
      <c r="A4" s="9" t="s">
        <v>576</v>
      </c>
      <c r="B4" s="8" t="s">
        <v>577</v>
      </c>
      <c r="C4" s="8" t="s">
        <v>190</v>
      </c>
    </row>
    <row r="5" spans="1:3">
      <c r="A5" s="9" t="s">
        <v>578</v>
      </c>
      <c r="B5" s="8" t="s">
        <v>579</v>
      </c>
      <c r="C5" s="8" t="s">
        <v>190</v>
      </c>
    </row>
    <row r="6" spans="1:3">
      <c r="A6" s="9" t="s">
        <v>580</v>
      </c>
      <c r="B6" s="8" t="s">
        <v>581</v>
      </c>
      <c r="C6" s="8" t="s">
        <v>196</v>
      </c>
    </row>
    <row r="7" spans="1:3">
      <c r="A7" s="9" t="s">
        <v>582</v>
      </c>
      <c r="B7" s="8" t="s">
        <v>583</v>
      </c>
      <c r="C7" s="8" t="s">
        <v>199</v>
      </c>
    </row>
    <row r="8" spans="1:3">
      <c r="A8" s="9" t="s">
        <v>584</v>
      </c>
      <c r="B8" s="8" t="s">
        <v>585</v>
      </c>
      <c r="C8" s="8" t="s">
        <v>214</v>
      </c>
    </row>
    <row r="9" spans="1:3">
      <c r="A9" s="9" t="s">
        <v>586</v>
      </c>
      <c r="B9" s="8" t="s">
        <v>587</v>
      </c>
      <c r="C9" s="8" t="s">
        <v>217</v>
      </c>
    </row>
    <row r="10" spans="1:3">
      <c r="A10" s="9" t="s">
        <v>588</v>
      </c>
      <c r="B10" s="8" t="s">
        <v>589</v>
      </c>
      <c r="C10" s="8" t="s">
        <v>181</v>
      </c>
    </row>
    <row r="11" spans="1:3">
      <c r="A11" s="9" t="s">
        <v>590</v>
      </c>
      <c r="B11" s="8" t="s">
        <v>591</v>
      </c>
      <c r="C11" s="8" t="s">
        <v>169</v>
      </c>
    </row>
    <row r="12" spans="1:3">
      <c r="A12" s="9" t="s">
        <v>592</v>
      </c>
      <c r="B12" s="8" t="s">
        <v>593</v>
      </c>
      <c r="C12" s="8" t="s">
        <v>594</v>
      </c>
    </row>
    <row r="13" spans="1:3">
      <c r="A13" s="9" t="s">
        <v>595</v>
      </c>
      <c r="B13" s="8" t="s">
        <v>596</v>
      </c>
      <c r="C13" s="8" t="s">
        <v>61</v>
      </c>
    </row>
    <row r="14" spans="1:3">
      <c r="A14" s="9" t="s">
        <v>597</v>
      </c>
      <c r="B14" s="8" t="s">
        <v>598</v>
      </c>
      <c r="C14" s="8" t="s">
        <v>205</v>
      </c>
    </row>
    <row r="15" spans="1:3">
      <c r="A15" s="9" t="s">
        <v>599</v>
      </c>
      <c r="B15" s="8" t="s">
        <v>600</v>
      </c>
      <c r="C15" s="8" t="s">
        <v>19</v>
      </c>
    </row>
    <row r="16" spans="1:3">
      <c r="A16" s="9" t="s">
        <v>601</v>
      </c>
      <c r="B16" s="8" t="s">
        <v>602</v>
      </c>
      <c r="C16" s="8" t="s">
        <v>208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73"/>
  <sheetViews>
    <sheetView workbookViewId="0">
      <pane ySplit="1" topLeftCell="A2" activePane="bottomLeft" state="frozen"/>
      <selection pane="bottomLeft"/>
    </sheetView>
  </sheetViews>
  <sheetFormatPr defaultRowHeight="15"/>
  <cols>
    <col min="1" max="1" width="7.7109375" customWidth="1"/>
    <col min="2" max="2" width="60.7109375" customWidth="1"/>
    <col min="3" max="3" width="110.7109375" customWidth="1"/>
    <col min="4" max="4" width="12.7109375" customWidth="1"/>
  </cols>
  <sheetData>
    <row r="1" spans="1:4">
      <c r="A1" s="7" t="s">
        <v>0</v>
      </c>
      <c r="B1" s="7" t="s">
        <v>1</v>
      </c>
      <c r="C1" s="7" t="s">
        <v>2</v>
      </c>
      <c r="D1" s="7" t="s">
        <v>3</v>
      </c>
    </row>
    <row r="2" spans="1:4">
      <c r="A2" s="8" t="s">
        <v>4</v>
      </c>
      <c r="B2" s="8" t="s">
        <v>5</v>
      </c>
      <c r="C2" s="8" t="s">
        <v>6</v>
      </c>
      <c r="D2" s="10">
        <v>46293</v>
      </c>
    </row>
    <row r="3" spans="1:4">
      <c r="A3" s="8" t="s">
        <v>7</v>
      </c>
      <c r="B3" s="8" t="s">
        <v>8</v>
      </c>
      <c r="C3" s="8" t="s">
        <v>9</v>
      </c>
      <c r="D3" s="10">
        <v>46293</v>
      </c>
    </row>
    <row r="4" spans="1:4">
      <c r="A4" s="8" t="s">
        <v>10</v>
      </c>
      <c r="B4" s="8" t="s">
        <v>11</v>
      </c>
      <c r="C4" s="8" t="s">
        <v>12</v>
      </c>
      <c r="D4" s="10">
        <v>46293</v>
      </c>
    </row>
    <row r="5" spans="1:4">
      <c r="A5" s="8" t="s">
        <v>13</v>
      </c>
      <c r="B5" s="8" t="s">
        <v>14</v>
      </c>
      <c r="C5" s="8" t="s">
        <v>15</v>
      </c>
      <c r="D5" s="10">
        <v>46293</v>
      </c>
    </row>
    <row r="6" spans="1:4">
      <c r="A6" s="8" t="s">
        <v>16</v>
      </c>
      <c r="B6" s="8" t="s">
        <v>17</v>
      </c>
      <c r="C6" s="8" t="s">
        <v>18</v>
      </c>
      <c r="D6" s="10">
        <v>46293</v>
      </c>
    </row>
    <row r="7" spans="1:4">
      <c r="A7" s="8" t="s">
        <v>19</v>
      </c>
      <c r="B7" s="8" t="s">
        <v>20</v>
      </c>
      <c r="C7" s="8" t="s">
        <v>21</v>
      </c>
      <c r="D7" s="10">
        <v>46293</v>
      </c>
    </row>
    <row r="8" spans="1:4">
      <c r="A8" s="8" t="s">
        <v>22</v>
      </c>
      <c r="B8" s="8" t="s">
        <v>23</v>
      </c>
      <c r="C8" s="8" t="s">
        <v>24</v>
      </c>
      <c r="D8" s="10">
        <v>46293</v>
      </c>
    </row>
    <row r="9" spans="1:4">
      <c r="A9" s="8" t="s">
        <v>25</v>
      </c>
      <c r="B9" s="8" t="s">
        <v>26</v>
      </c>
      <c r="C9" s="8" t="s">
        <v>27</v>
      </c>
      <c r="D9" s="10">
        <v>46293</v>
      </c>
    </row>
    <row r="10" spans="1:4">
      <c r="A10" s="8" t="s">
        <v>28</v>
      </c>
      <c r="B10" s="8" t="s">
        <v>29</v>
      </c>
      <c r="C10" s="8" t="s">
        <v>30</v>
      </c>
      <c r="D10" s="10">
        <v>46293</v>
      </c>
    </row>
    <row r="11" spans="1:4">
      <c r="A11" s="8" t="s">
        <v>31</v>
      </c>
      <c r="B11" s="8" t="s">
        <v>32</v>
      </c>
      <c r="C11" s="8" t="s">
        <v>33</v>
      </c>
      <c r="D11" s="10">
        <v>46293</v>
      </c>
    </row>
    <row r="12" spans="1:4">
      <c r="A12" s="8" t="s">
        <v>34</v>
      </c>
      <c r="B12" s="8" t="s">
        <v>35</v>
      </c>
      <c r="C12" s="8" t="s">
        <v>36</v>
      </c>
      <c r="D12" s="10">
        <v>46293</v>
      </c>
    </row>
    <row r="13" spans="1:4">
      <c r="A13" s="8" t="s">
        <v>37</v>
      </c>
      <c r="B13" s="8" t="s">
        <v>38</v>
      </c>
      <c r="C13" s="8" t="s">
        <v>39</v>
      </c>
      <c r="D13" s="10">
        <v>46293</v>
      </c>
    </row>
    <row r="14" spans="1:4">
      <c r="A14" s="8" t="s">
        <v>40</v>
      </c>
      <c r="B14" s="8" t="s">
        <v>41</v>
      </c>
      <c r="C14" s="8" t="s">
        <v>42</v>
      </c>
      <c r="D14" s="10">
        <v>46293</v>
      </c>
    </row>
    <row r="15" spans="1:4">
      <c r="A15" s="8" t="s">
        <v>43</v>
      </c>
      <c r="B15" s="8" t="s">
        <v>44</v>
      </c>
      <c r="C15" s="8" t="s">
        <v>45</v>
      </c>
      <c r="D15" s="10">
        <v>46293</v>
      </c>
    </row>
    <row r="16" spans="1:4">
      <c r="A16" s="8" t="s">
        <v>46</v>
      </c>
      <c r="B16" s="8" t="s">
        <v>47</v>
      </c>
      <c r="C16" s="8" t="s">
        <v>48</v>
      </c>
      <c r="D16" s="10">
        <v>46293</v>
      </c>
    </row>
    <row r="17" spans="1:4">
      <c r="A17" s="8" t="s">
        <v>49</v>
      </c>
      <c r="B17" s="8" t="s">
        <v>50</v>
      </c>
      <c r="C17" s="8" t="s">
        <v>51</v>
      </c>
      <c r="D17" s="10">
        <v>46293</v>
      </c>
    </row>
    <row r="18" spans="1:4">
      <c r="A18" s="8" t="s">
        <v>52</v>
      </c>
      <c r="B18" s="8" t="s">
        <v>53</v>
      </c>
      <c r="C18" s="8" t="s">
        <v>54</v>
      </c>
      <c r="D18" s="10">
        <v>46293</v>
      </c>
    </row>
    <row r="19" spans="1:4">
      <c r="A19" s="8" t="s">
        <v>55</v>
      </c>
      <c r="B19" s="8" t="s">
        <v>56</v>
      </c>
      <c r="C19" s="8" t="s">
        <v>57</v>
      </c>
      <c r="D19" s="10">
        <v>46293</v>
      </c>
    </row>
    <row r="20" spans="1:4">
      <c r="A20" s="8" t="s">
        <v>58</v>
      </c>
      <c r="B20" s="8" t="s">
        <v>59</v>
      </c>
      <c r="C20" s="8" t="s">
        <v>60</v>
      </c>
      <c r="D20" s="10">
        <v>46293</v>
      </c>
    </row>
    <row r="21" spans="1:4">
      <c r="A21" s="8" t="s">
        <v>61</v>
      </c>
      <c r="B21" s="8" t="s">
        <v>62</v>
      </c>
      <c r="C21" s="8" t="s">
        <v>63</v>
      </c>
      <c r="D21" s="10">
        <v>46293</v>
      </c>
    </row>
    <row r="22" spans="1:4">
      <c r="A22" s="8" t="s">
        <v>64</v>
      </c>
      <c r="B22" s="8" t="s">
        <v>65</v>
      </c>
      <c r="C22" s="8" t="s">
        <v>66</v>
      </c>
      <c r="D22" s="10">
        <v>46293</v>
      </c>
    </row>
    <row r="23" spans="1:4">
      <c r="A23" s="8" t="s">
        <v>67</v>
      </c>
      <c r="B23" s="8" t="s">
        <v>68</v>
      </c>
      <c r="C23" s="8" t="s">
        <v>69</v>
      </c>
      <c r="D23" s="10">
        <v>46293</v>
      </c>
    </row>
    <row r="24" spans="1:4">
      <c r="A24" s="8" t="s">
        <v>70</v>
      </c>
      <c r="B24" s="8" t="s">
        <v>71</v>
      </c>
      <c r="C24" s="8" t="s">
        <v>72</v>
      </c>
      <c r="D24" s="10">
        <v>46293</v>
      </c>
    </row>
    <row r="25" spans="1:4">
      <c r="A25" s="8" t="s">
        <v>73</v>
      </c>
      <c r="B25" s="8" t="s">
        <v>74</v>
      </c>
      <c r="C25" s="8" t="s">
        <v>75</v>
      </c>
      <c r="D25" s="10">
        <v>46293</v>
      </c>
    </row>
    <row r="26" spans="1:4">
      <c r="A26" s="8" t="s">
        <v>76</v>
      </c>
      <c r="B26" s="8" t="s">
        <v>77</v>
      </c>
      <c r="C26" s="8" t="s">
        <v>78</v>
      </c>
      <c r="D26" s="10">
        <v>46293</v>
      </c>
    </row>
    <row r="27" spans="1:4">
      <c r="A27" s="8" t="s">
        <v>79</v>
      </c>
      <c r="B27" s="8" t="s">
        <v>80</v>
      </c>
      <c r="C27" s="8" t="s">
        <v>81</v>
      </c>
      <c r="D27" s="10">
        <v>46293</v>
      </c>
    </row>
    <row r="28" spans="1:4">
      <c r="A28" s="8" t="s">
        <v>82</v>
      </c>
      <c r="B28" s="8" t="s">
        <v>83</v>
      </c>
      <c r="C28" s="8" t="s">
        <v>84</v>
      </c>
      <c r="D28" s="10">
        <v>46293</v>
      </c>
    </row>
    <row r="29" spans="1:4">
      <c r="A29" s="8" t="s">
        <v>85</v>
      </c>
      <c r="B29" s="8" t="s">
        <v>86</v>
      </c>
      <c r="C29" s="8" t="s">
        <v>87</v>
      </c>
      <c r="D29" s="10">
        <v>46293</v>
      </c>
    </row>
    <row r="30" spans="1:4">
      <c r="A30" s="8" t="s">
        <v>88</v>
      </c>
      <c r="B30" s="8" t="s">
        <v>89</v>
      </c>
      <c r="C30" s="8" t="s">
        <v>90</v>
      </c>
      <c r="D30" s="10">
        <v>46293</v>
      </c>
    </row>
    <row r="31" spans="1:4">
      <c r="A31" s="8" t="s">
        <v>91</v>
      </c>
      <c r="B31" s="8" t="s">
        <v>92</v>
      </c>
      <c r="C31" s="8" t="s">
        <v>93</v>
      </c>
      <c r="D31" s="10">
        <v>46293</v>
      </c>
    </row>
    <row r="32" spans="1:4">
      <c r="A32" s="8" t="s">
        <v>94</v>
      </c>
      <c r="B32" s="8" t="s">
        <v>95</v>
      </c>
      <c r="C32" s="8" t="s">
        <v>96</v>
      </c>
      <c r="D32" s="10">
        <v>46293</v>
      </c>
    </row>
    <row r="33" spans="1:4">
      <c r="A33" s="8" t="s">
        <v>97</v>
      </c>
      <c r="B33" s="8" t="s">
        <v>98</v>
      </c>
      <c r="C33" s="8" t="s">
        <v>99</v>
      </c>
      <c r="D33" s="10">
        <v>46293</v>
      </c>
    </row>
    <row r="34" spans="1:4">
      <c r="A34" s="8" t="s">
        <v>100</v>
      </c>
      <c r="B34" s="8" t="s">
        <v>101</v>
      </c>
      <c r="C34" s="8" t="s">
        <v>102</v>
      </c>
      <c r="D34" s="10">
        <v>46293</v>
      </c>
    </row>
    <row r="35" spans="1:4">
      <c r="A35" s="8" t="s">
        <v>103</v>
      </c>
      <c r="B35" s="8" t="s">
        <v>104</v>
      </c>
      <c r="C35" s="8" t="s">
        <v>105</v>
      </c>
      <c r="D35" s="10">
        <v>46293</v>
      </c>
    </row>
    <row r="36" spans="1:4">
      <c r="A36" s="8" t="s">
        <v>106</v>
      </c>
      <c r="B36" s="8" t="s">
        <v>107</v>
      </c>
      <c r="C36" s="8" t="s">
        <v>108</v>
      </c>
      <c r="D36" s="10">
        <v>46293</v>
      </c>
    </row>
    <row r="37" spans="1:4">
      <c r="A37" s="8" t="s">
        <v>109</v>
      </c>
      <c r="B37" s="8" t="s">
        <v>110</v>
      </c>
      <c r="C37" s="8" t="s">
        <v>111</v>
      </c>
      <c r="D37" s="10">
        <v>46293</v>
      </c>
    </row>
    <row r="38" spans="1:4">
      <c r="A38" s="8" t="s">
        <v>112</v>
      </c>
      <c r="B38" s="8" t="s">
        <v>113</v>
      </c>
      <c r="C38" s="8" t="s">
        <v>114</v>
      </c>
      <c r="D38" s="10">
        <v>46293</v>
      </c>
    </row>
    <row r="39" spans="1:4">
      <c r="A39" s="8" t="s">
        <v>115</v>
      </c>
      <c r="B39" s="8" t="s">
        <v>116</v>
      </c>
      <c r="C39" s="8" t="s">
        <v>117</v>
      </c>
      <c r="D39" s="10">
        <v>46293</v>
      </c>
    </row>
    <row r="40" spans="1:4">
      <c r="A40" s="8" t="s">
        <v>118</v>
      </c>
      <c r="B40" s="8" t="s">
        <v>119</v>
      </c>
      <c r="C40" s="8" t="s">
        <v>120</v>
      </c>
      <c r="D40" s="10">
        <v>46293</v>
      </c>
    </row>
    <row r="41" spans="1:4">
      <c r="A41" s="8" t="s">
        <v>121</v>
      </c>
      <c r="B41" s="8" t="s">
        <v>122</v>
      </c>
      <c r="C41" s="8" t="s">
        <v>123</v>
      </c>
      <c r="D41" s="10">
        <v>46293</v>
      </c>
    </row>
    <row r="42" spans="1:4">
      <c r="A42" s="8" t="s">
        <v>124</v>
      </c>
      <c r="B42" s="8" t="s">
        <v>125</v>
      </c>
      <c r="C42" s="8" t="s">
        <v>126</v>
      </c>
      <c r="D42" s="10">
        <v>46293</v>
      </c>
    </row>
    <row r="43" spans="1:4">
      <c r="A43" s="8" t="s">
        <v>127</v>
      </c>
      <c r="B43" s="8" t="s">
        <v>128</v>
      </c>
      <c r="C43" s="8" t="s">
        <v>129</v>
      </c>
      <c r="D43" s="10">
        <v>46293</v>
      </c>
    </row>
    <row r="44" spans="1:4">
      <c r="A44" s="8" t="s">
        <v>130</v>
      </c>
      <c r="B44" s="8" t="s">
        <v>131</v>
      </c>
      <c r="C44" s="8" t="s">
        <v>132</v>
      </c>
      <c r="D44" s="10">
        <v>46293</v>
      </c>
    </row>
    <row r="45" spans="1:4">
      <c r="A45" s="8" t="s">
        <v>133</v>
      </c>
      <c r="B45" s="8" t="s">
        <v>134</v>
      </c>
      <c r="C45" s="8" t="s">
        <v>135</v>
      </c>
      <c r="D45" s="10">
        <v>46293</v>
      </c>
    </row>
    <row r="46" spans="1:4">
      <c r="A46" s="8" t="s">
        <v>136</v>
      </c>
      <c r="B46" s="8" t="s">
        <v>137</v>
      </c>
      <c r="C46" s="8" t="s">
        <v>138</v>
      </c>
      <c r="D46" s="10">
        <v>46293</v>
      </c>
    </row>
    <row r="47" spans="1:4">
      <c r="A47" s="8" t="s">
        <v>139</v>
      </c>
      <c r="B47" s="8" t="s">
        <v>140</v>
      </c>
      <c r="C47" s="8" t="s">
        <v>141</v>
      </c>
      <c r="D47" s="10">
        <v>46293</v>
      </c>
    </row>
    <row r="48" spans="1:4">
      <c r="A48" s="8" t="s">
        <v>142</v>
      </c>
      <c r="B48" s="8" t="s">
        <v>143</v>
      </c>
      <c r="C48" s="8" t="s">
        <v>144</v>
      </c>
      <c r="D48" s="10">
        <v>46293</v>
      </c>
    </row>
    <row r="49" spans="1:4">
      <c r="A49" s="8" t="s">
        <v>145</v>
      </c>
      <c r="B49" s="8" t="s">
        <v>146</v>
      </c>
      <c r="C49" s="8" t="s">
        <v>147</v>
      </c>
      <c r="D49" s="10">
        <v>46293</v>
      </c>
    </row>
    <row r="50" spans="1:4">
      <c r="A50" s="8" t="s">
        <v>148</v>
      </c>
      <c r="B50" s="8" t="s">
        <v>149</v>
      </c>
      <c r="C50" s="8" t="s">
        <v>150</v>
      </c>
      <c r="D50" s="10">
        <v>46293</v>
      </c>
    </row>
    <row r="51" spans="1:4">
      <c r="A51" s="8" t="s">
        <v>151</v>
      </c>
      <c r="B51" s="8" t="s">
        <v>152</v>
      </c>
      <c r="C51" s="8" t="s">
        <v>153</v>
      </c>
      <c r="D51" s="10">
        <v>46293</v>
      </c>
    </row>
    <row r="52" spans="1:4">
      <c r="A52" s="8" t="s">
        <v>154</v>
      </c>
      <c r="B52" s="8" t="s">
        <v>155</v>
      </c>
      <c r="C52" s="8" t="s">
        <v>156</v>
      </c>
      <c r="D52" s="10">
        <v>46293</v>
      </c>
    </row>
    <row r="53" spans="1:4">
      <c r="A53" s="8" t="s">
        <v>157</v>
      </c>
      <c r="B53" s="8" t="s">
        <v>158</v>
      </c>
      <c r="C53" s="8" t="s">
        <v>159</v>
      </c>
      <c r="D53" s="10">
        <v>46293</v>
      </c>
    </row>
    <row r="54" spans="1:4">
      <c r="A54" s="8" t="s">
        <v>160</v>
      </c>
      <c r="B54" s="8" t="s">
        <v>161</v>
      </c>
      <c r="C54" s="8" t="s">
        <v>162</v>
      </c>
      <c r="D54" s="10">
        <v>46293</v>
      </c>
    </row>
    <row r="55" spans="1:4">
      <c r="A55" s="8" t="s">
        <v>163</v>
      </c>
      <c r="B55" s="8" t="s">
        <v>164</v>
      </c>
      <c r="C55" s="8" t="s">
        <v>165</v>
      </c>
      <c r="D55" s="10">
        <v>46293</v>
      </c>
    </row>
    <row r="56" spans="1:4">
      <c r="A56" s="8" t="s">
        <v>166</v>
      </c>
      <c r="B56" s="8" t="s">
        <v>167</v>
      </c>
      <c r="C56" s="8" t="s">
        <v>168</v>
      </c>
      <c r="D56" s="10">
        <v>46293</v>
      </c>
    </row>
    <row r="57" spans="1:4">
      <c r="A57" s="8" t="s">
        <v>169</v>
      </c>
      <c r="B57" s="8" t="s">
        <v>170</v>
      </c>
      <c r="C57" s="8" t="s">
        <v>171</v>
      </c>
      <c r="D57" s="10">
        <v>46293</v>
      </c>
    </row>
    <row r="58" spans="1:4">
      <c r="A58" s="8" t="s">
        <v>172</v>
      </c>
      <c r="B58" s="8" t="s">
        <v>173</v>
      </c>
      <c r="C58" s="8" t="s">
        <v>174</v>
      </c>
      <c r="D58" s="10">
        <v>46293</v>
      </c>
    </row>
    <row r="59" spans="1:4">
      <c r="A59" s="8" t="s">
        <v>175</v>
      </c>
      <c r="B59" s="8" t="s">
        <v>176</v>
      </c>
      <c r="C59" s="8" t="s">
        <v>177</v>
      </c>
      <c r="D59" s="10">
        <v>46293</v>
      </c>
    </row>
    <row r="60" spans="1:4">
      <c r="A60" s="8" t="s">
        <v>178</v>
      </c>
      <c r="B60" s="8" t="s">
        <v>179</v>
      </c>
      <c r="C60" s="8" t="s">
        <v>180</v>
      </c>
      <c r="D60" s="10">
        <v>46293</v>
      </c>
    </row>
    <row r="61" spans="1:4">
      <c r="A61" s="8" t="s">
        <v>181</v>
      </c>
      <c r="B61" s="8" t="s">
        <v>182</v>
      </c>
      <c r="C61" s="8" t="s">
        <v>183</v>
      </c>
      <c r="D61" s="10">
        <v>46293</v>
      </c>
    </row>
    <row r="62" spans="1:4">
      <c r="A62" s="8" t="s">
        <v>184</v>
      </c>
      <c r="B62" s="8" t="s">
        <v>185</v>
      </c>
      <c r="C62" s="8" t="s">
        <v>186</v>
      </c>
      <c r="D62" s="10">
        <v>46293</v>
      </c>
    </row>
    <row r="63" spans="1:4">
      <c r="A63" s="8" t="s">
        <v>187</v>
      </c>
      <c r="B63" s="8" t="s">
        <v>188</v>
      </c>
      <c r="C63" s="8" t="s">
        <v>189</v>
      </c>
      <c r="D63" s="10">
        <v>46293</v>
      </c>
    </row>
    <row r="64" spans="1:4">
      <c r="A64" s="8" t="s">
        <v>190</v>
      </c>
      <c r="B64" s="8" t="s">
        <v>191</v>
      </c>
      <c r="C64" s="8" t="s">
        <v>192</v>
      </c>
      <c r="D64" s="10">
        <v>46293</v>
      </c>
    </row>
    <row r="65" spans="1:4">
      <c r="A65" s="8" t="s">
        <v>193</v>
      </c>
      <c r="B65" s="8" t="s">
        <v>194</v>
      </c>
      <c r="C65" s="8" t="s">
        <v>195</v>
      </c>
      <c r="D65" s="10">
        <v>46293</v>
      </c>
    </row>
    <row r="66" spans="1:4">
      <c r="A66" s="8" t="s">
        <v>196</v>
      </c>
      <c r="B66" s="8" t="s">
        <v>197</v>
      </c>
      <c r="C66" s="8" t="s">
        <v>198</v>
      </c>
      <c r="D66" s="10">
        <v>46293</v>
      </c>
    </row>
    <row r="67" spans="1:4">
      <c r="A67" s="8" t="s">
        <v>199</v>
      </c>
      <c r="B67" s="8" t="s">
        <v>200</v>
      </c>
      <c r="C67" s="8" t="s">
        <v>201</v>
      </c>
      <c r="D67" s="10">
        <v>46293</v>
      </c>
    </row>
    <row r="68" spans="1:4">
      <c r="A68" s="8" t="s">
        <v>202</v>
      </c>
      <c r="B68" s="8" t="s">
        <v>203</v>
      </c>
      <c r="C68" s="8" t="s">
        <v>204</v>
      </c>
      <c r="D68" s="10">
        <v>46293</v>
      </c>
    </row>
    <row r="69" spans="1:4">
      <c r="A69" s="8" t="s">
        <v>205</v>
      </c>
      <c r="B69" s="8" t="s">
        <v>206</v>
      </c>
      <c r="C69" s="8" t="s">
        <v>207</v>
      </c>
      <c r="D69" s="10">
        <v>46293</v>
      </c>
    </row>
    <row r="70" spans="1:4">
      <c r="A70" s="8" t="s">
        <v>208</v>
      </c>
      <c r="B70" s="8" t="s">
        <v>209</v>
      </c>
      <c r="C70" s="8" t="s">
        <v>210</v>
      </c>
      <c r="D70" s="10">
        <v>46293</v>
      </c>
    </row>
    <row r="71" spans="1:4">
      <c r="A71" s="8" t="s">
        <v>211</v>
      </c>
      <c r="B71" s="8" t="s">
        <v>212</v>
      </c>
      <c r="C71" s="8" t="s">
        <v>213</v>
      </c>
      <c r="D71" s="10">
        <v>46293</v>
      </c>
    </row>
    <row r="72" spans="1:4">
      <c r="A72" s="8" t="s">
        <v>214</v>
      </c>
      <c r="B72" s="8" t="s">
        <v>215</v>
      </c>
      <c r="C72" s="8" t="s">
        <v>216</v>
      </c>
      <c r="D72" s="10">
        <v>46293</v>
      </c>
    </row>
    <row r="73" spans="1:4">
      <c r="A73" s="8" t="s">
        <v>217</v>
      </c>
      <c r="B73" s="8" t="s">
        <v>218</v>
      </c>
      <c r="C73" s="8" t="s">
        <v>219</v>
      </c>
      <c r="D73" s="10">
        <v>46293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8"/>
  <sheetViews>
    <sheetView workbookViewId="0">
      <pane ySplit="1" topLeftCell="A2" activePane="bottomLeft" state="frozen"/>
      <selection pane="bottomLeft"/>
    </sheetView>
  </sheetViews>
  <sheetFormatPr defaultRowHeight="15"/>
  <cols>
    <col min="1" max="1" width="14.7109375" customWidth="1"/>
    <col min="2" max="2" width="40.7109375" customWidth="1"/>
    <col min="3" max="3" width="120.7109375" customWidth="1"/>
  </cols>
  <sheetData>
    <row r="1" spans="1:3">
      <c r="A1" s="7" t="s">
        <v>603</v>
      </c>
      <c r="B1" s="7" t="s">
        <v>604</v>
      </c>
      <c r="C1" s="7" t="s">
        <v>605</v>
      </c>
    </row>
    <row r="2" spans="1:3">
      <c r="A2" s="8" t="s">
        <v>606</v>
      </c>
      <c r="B2" s="9" t="s">
        <v>607</v>
      </c>
      <c r="C2" s="8" t="s">
        <v>608</v>
      </c>
    </row>
    <row r="3" spans="1:3">
      <c r="A3" s="8" t="s">
        <v>606</v>
      </c>
      <c r="B3" s="9" t="s">
        <v>609</v>
      </c>
      <c r="C3" s="8" t="s">
        <v>610</v>
      </c>
    </row>
    <row r="4" spans="1:3">
      <c r="A4" s="8" t="s">
        <v>606</v>
      </c>
      <c r="B4" s="9" t="s">
        <v>611</v>
      </c>
      <c r="C4" s="8" t="s">
        <v>612</v>
      </c>
    </row>
    <row r="5" spans="1:3">
      <c r="A5" s="8" t="s">
        <v>606</v>
      </c>
      <c r="B5" s="9" t="s">
        <v>613</v>
      </c>
      <c r="C5" s="8" t="s">
        <v>614</v>
      </c>
    </row>
    <row r="6" spans="1:3">
      <c r="A6" s="8" t="s">
        <v>606</v>
      </c>
      <c r="B6" s="9" t="s">
        <v>615</v>
      </c>
      <c r="C6" s="8" t="s">
        <v>616</v>
      </c>
    </row>
    <row r="7" spans="1:3">
      <c r="A7" s="8" t="s">
        <v>606</v>
      </c>
      <c r="B7" s="9" t="s">
        <v>617</v>
      </c>
      <c r="C7" s="8" t="s">
        <v>618</v>
      </c>
    </row>
    <row r="8" spans="1:3">
      <c r="A8" s="8" t="s">
        <v>606</v>
      </c>
      <c r="B8" s="9" t="s">
        <v>619</v>
      </c>
      <c r="C8" s="8" t="s">
        <v>620</v>
      </c>
    </row>
    <row r="9" spans="1:3">
      <c r="A9" s="8" t="s">
        <v>606</v>
      </c>
      <c r="B9" s="9" t="s">
        <v>621</v>
      </c>
      <c r="C9" s="8" t="s">
        <v>622</v>
      </c>
    </row>
    <row r="10" spans="1:3">
      <c r="A10" s="8" t="s">
        <v>606</v>
      </c>
      <c r="B10" s="9" t="s">
        <v>623</v>
      </c>
      <c r="C10" s="8" t="s">
        <v>624</v>
      </c>
    </row>
    <row r="11" spans="1:3">
      <c r="A11" s="8" t="s">
        <v>606</v>
      </c>
      <c r="B11" s="9" t="s">
        <v>625</v>
      </c>
      <c r="C11" s="8" t="s">
        <v>626</v>
      </c>
    </row>
    <row r="12" spans="1:3">
      <c r="A12" s="8" t="s">
        <v>606</v>
      </c>
      <c r="B12" s="9" t="s">
        <v>627</v>
      </c>
      <c r="C12" s="8" t="s">
        <v>628</v>
      </c>
    </row>
    <row r="13" spans="1:3">
      <c r="A13" s="8" t="s">
        <v>606</v>
      </c>
      <c r="B13" s="9" t="s">
        <v>629</v>
      </c>
      <c r="C13" s="8" t="s">
        <v>630</v>
      </c>
    </row>
    <row r="14" spans="1:3">
      <c r="A14" s="8" t="s">
        <v>631</v>
      </c>
      <c r="B14" s="8"/>
      <c r="C14" s="8" t="s">
        <v>632</v>
      </c>
    </row>
    <row r="15" spans="1:3">
      <c r="A15" s="8" t="s">
        <v>631</v>
      </c>
      <c r="B15" s="8"/>
      <c r="C15" s="8" t="s">
        <v>633</v>
      </c>
    </row>
    <row r="16" spans="1:3">
      <c r="A16" s="8" t="s">
        <v>631</v>
      </c>
      <c r="B16" s="8"/>
      <c r="C16" s="8" t="s">
        <v>634</v>
      </c>
    </row>
    <row r="17" spans="1:3">
      <c r="A17" s="8" t="s">
        <v>631</v>
      </c>
      <c r="B17" s="8"/>
      <c r="C17" s="8" t="s">
        <v>635</v>
      </c>
    </row>
    <row r="18" spans="1:3">
      <c r="A18" s="8" t="s">
        <v>631</v>
      </c>
      <c r="B18" s="8"/>
      <c r="C18" s="8" t="s">
        <v>636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Conferences</vt:lpstr>
      <vt:lpstr>Summary</vt:lpstr>
      <vt:lpstr>Leads</vt:lpstr>
      <vt:lpstr>SourceMap</vt:lpstr>
      <vt:lpstr>Audit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Conference research 2026-09-28 to 2026-12-31</dc:title>
  <dc:creator>Claude Code</dc:creator>
  <cp:lastModifiedBy>Claude Code</cp:lastModifiedBy>
  <dcterms:created xsi:type="dcterms:W3CDTF">2026-10-20T13:55:18Z</dcterms:created>
  <dcterms:modified xsi:type="dcterms:W3CDTF">2026-10-20T13:55:18Z</dcterms:modified>
</cp:coreProperties>
</file>